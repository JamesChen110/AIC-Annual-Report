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c0c04nc\Documents\Project\合规年报\AIC Annual Report\"/>
    </mc:Choice>
  </mc:AlternateContent>
  <bookViews>
    <workbookView xWindow="360" yWindow="90" windowWidth="9855" windowHeight="6330" tabRatio="772" firstSheet="1" activeTab="8"/>
  </bookViews>
  <sheets>
    <sheet name="old" sheetId="1" state="hidden" r:id="rId1"/>
    <sheet name="分配清单" sheetId="20" r:id="rId2"/>
    <sheet name="法人_配置表1" sheetId="12" r:id="rId3"/>
    <sheet name="法人_参数表1" sheetId="15" r:id="rId4"/>
    <sheet name="法人_配置表2" sheetId="13" r:id="rId5"/>
    <sheet name="法人_参数表2" sheetId="10" r:id="rId6"/>
    <sheet name="法人_配置表3" sheetId="5" r:id="rId7"/>
    <sheet name="法人_参数表3" sheetId="19" r:id="rId8"/>
    <sheet name="分支_配置表1" sheetId="17" r:id="rId9"/>
    <sheet name="分支_参数表1" sheetId="16" r:id="rId10"/>
    <sheet name="分支_配置表2" sheetId="18" r:id="rId11"/>
    <sheet name="sheet" sheetId="9" r:id="rId12"/>
    <sheet name="TblHearderName" sheetId="4" state="hidden" r:id="rId13"/>
  </sheets>
  <definedNames>
    <definedName name="_xlnm._FilterDatabase" localSheetId="8" hidden="1">分支_配置表1!$A$1:$S$73</definedName>
    <definedName name="_xlnm._FilterDatabase" localSheetId="2" hidden="1">法人_配置表1!$A$1:$S$235</definedName>
    <definedName name="_xlnm._FilterDatabase" localSheetId="4" hidden="1">法人_配置表2!$A$1:$S$204</definedName>
    <definedName name="_xlnm._FilterDatabase" localSheetId="6" hidden="1">法人_配置表3!$A$1:$S$224</definedName>
  </definedNames>
  <calcPr calcId="162913"/>
</workbook>
</file>

<file path=xl/calcChain.xml><?xml version="1.0" encoding="utf-8"?>
<calcChain xmlns="http://schemas.openxmlformats.org/spreadsheetml/2006/main">
  <c r="C11" i="9" l="1"/>
  <c r="C14" i="9"/>
  <c r="C15" i="9" s="1"/>
  <c r="C7" i="9"/>
  <c r="C6" i="9" l="1"/>
  <c r="C4" i="9"/>
  <c r="C3" i="9"/>
</calcChain>
</file>

<file path=xl/comments1.xml><?xml version="1.0" encoding="utf-8"?>
<comments xmlns="http://schemas.openxmlformats.org/spreadsheetml/2006/main">
  <authors>
    <author>James Chen</author>
  </authors>
  <commentList>
    <comment ref="H1" authorId="0" shapeId="0">
      <text>
        <r>
          <rPr>
            <b/>
            <sz val="9"/>
            <color indexed="81"/>
            <rFont val="Tahoma"/>
            <family val="2"/>
          </rPr>
          <t>remark:
如果是特殊的Tagmane 必填，比如 Ctrlselect,select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remark:</t>
        </r>
        <r>
          <rPr>
            <sz val="9"/>
            <color indexed="81"/>
            <rFont val="Tahoma"/>
            <family val="2"/>
          </rPr>
          <t xml:space="preserve">
unit :second
default: 1 second</t>
        </r>
      </text>
    </comment>
    <comment ref="M1" authorId="0" shapeId="0">
      <text>
        <r>
          <rPr>
            <sz val="9"/>
            <color indexed="81"/>
            <rFont val="Tahoma"/>
            <family val="2"/>
          </rPr>
          <t xml:space="preserve">
仅checkbox 使用
1.如果是value 那么需要在配置表Text_Value添加信息，如果是text 那么直接使用数据源的值查找
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 xml:space="preserve">
仅loopselect类型使用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 xml:space="preserve">
仅loopselect使用，
如果是fixvalue那么直接取itemName值查找，如不是，那么用数据源值查找</t>
        </r>
      </text>
    </comment>
    <comment ref="P1" authorId="0" shapeId="0">
      <text>
        <r>
          <rPr>
            <sz val="9"/>
            <color indexed="81"/>
            <rFont val="Tahoma"/>
            <family val="2"/>
          </rPr>
          <t xml:space="preserve">
从updateData取值</t>
        </r>
      </text>
    </comment>
  </commentList>
</comments>
</file>

<file path=xl/comments2.xml><?xml version="1.0" encoding="utf-8"?>
<comments xmlns="http://schemas.openxmlformats.org/spreadsheetml/2006/main">
  <authors>
    <author>James Chen</author>
  </authors>
  <commentList>
    <comment ref="H1" authorId="0" shapeId="0">
      <text>
        <r>
          <rPr>
            <b/>
            <sz val="9"/>
            <color indexed="81"/>
            <rFont val="Tahoma"/>
            <family val="2"/>
          </rPr>
          <t>remark:
如果是特殊的Tagmane 必填，比如 Ctrlselect,select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remark:</t>
        </r>
        <r>
          <rPr>
            <sz val="9"/>
            <color indexed="81"/>
            <rFont val="Tahoma"/>
            <family val="2"/>
          </rPr>
          <t xml:space="preserve">
unit :second
default: 1 second</t>
        </r>
      </text>
    </comment>
    <comment ref="M1" authorId="0" shapeId="0">
      <text>
        <r>
          <rPr>
            <sz val="9"/>
            <color indexed="81"/>
            <rFont val="Tahoma"/>
            <family val="2"/>
          </rPr>
          <t xml:space="preserve">
仅checkbox 使用
1.如果是value 那么需要在配置表Text_Value添加信息，如果是text 那么直接使用数据源的值查找
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 xml:space="preserve">
仅loopselect类型使用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 xml:space="preserve">
仅loopselect使用，
如果是fixvalue那么直接取itemName值查找，如不是，那么用数据源值查找</t>
        </r>
      </text>
    </comment>
    <comment ref="P1" authorId="0" shapeId="0">
      <text>
        <r>
          <rPr>
            <sz val="9"/>
            <color indexed="81"/>
            <rFont val="Tahoma"/>
            <family val="2"/>
          </rPr>
          <t xml:space="preserve">
从updateData取值</t>
        </r>
      </text>
    </comment>
  </commentList>
</comments>
</file>

<file path=xl/comments3.xml><?xml version="1.0" encoding="utf-8"?>
<comments xmlns="http://schemas.openxmlformats.org/spreadsheetml/2006/main">
  <authors>
    <author>James Chen</author>
  </authors>
  <commentList>
    <comment ref="I1" authorId="0" shapeId="0">
      <text>
        <r>
          <rPr>
            <b/>
            <sz val="9"/>
            <color indexed="81"/>
            <rFont val="Tahoma"/>
            <family val="2"/>
          </rPr>
          <t>James Chen:</t>
        </r>
        <r>
          <rPr>
            <sz val="9"/>
            <color indexed="81"/>
            <rFont val="Tahoma"/>
            <family val="2"/>
          </rPr>
          <t xml:space="preserve">
如果是特殊的Tagmane 必填，比如 Ctrlselect,select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remark:</t>
        </r>
        <r>
          <rPr>
            <sz val="9"/>
            <color indexed="81"/>
            <rFont val="Tahoma"/>
            <family val="2"/>
          </rPr>
          <t xml:space="preserve">
unit :second
default: 1 second</t>
        </r>
      </text>
    </comment>
    <comment ref="M1" authorId="0" shapeId="0">
      <text>
        <r>
          <rPr>
            <sz val="9"/>
            <color indexed="81"/>
            <rFont val="Tahoma"/>
            <family val="2"/>
          </rPr>
          <t xml:space="preserve">
仅checkbox 使用
1.如果是value 那么需要在配置表Text_Value添加信息，如果是text 那么直接使用数据源的值查找
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 xml:space="preserve">
仅loopselect类型使用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 xml:space="preserve">
仅loopselect使用，
如果是fixvalue那么直接取itemName值查找，如不是，那么用数据源值查找</t>
        </r>
      </text>
    </comment>
    <comment ref="P1" authorId="0" shapeId="0">
      <text>
        <r>
          <rPr>
            <sz val="9"/>
            <color indexed="81"/>
            <rFont val="Tahoma"/>
            <family val="2"/>
          </rPr>
          <t xml:space="preserve">
从updateData取值</t>
        </r>
      </text>
    </comment>
  </commentList>
</comments>
</file>

<file path=xl/comments4.xml><?xml version="1.0" encoding="utf-8"?>
<comments xmlns="http://schemas.openxmlformats.org/spreadsheetml/2006/main">
  <authors>
    <author>James Chen</author>
  </authors>
  <commentList>
    <comment ref="H1" authorId="0" shapeId="0">
      <text>
        <r>
          <rPr>
            <b/>
            <sz val="9"/>
            <color indexed="81"/>
            <rFont val="Tahoma"/>
            <family val="2"/>
          </rPr>
          <t>remark:
如果是特殊的Tagmane 必填，比如 Ctrlselect,select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remark:</t>
        </r>
        <r>
          <rPr>
            <sz val="9"/>
            <color indexed="81"/>
            <rFont val="Tahoma"/>
            <family val="2"/>
          </rPr>
          <t xml:space="preserve">
unit :second
default: 1 second</t>
        </r>
      </text>
    </comment>
    <comment ref="M1" authorId="0" shapeId="0">
      <text>
        <r>
          <rPr>
            <sz val="9"/>
            <color indexed="81"/>
            <rFont val="Tahoma"/>
            <family val="2"/>
          </rPr>
          <t xml:space="preserve">
仅checkbox 使用
1.如果是value 那么需要在配置表Text_Value添加信息，如果是text 那么直接使用数据源的值查找
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 xml:space="preserve">
仅loopselect类型使用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 xml:space="preserve">
仅loopselect使用，
如果是fixvalue那么直接取itemName值查找，如不是，那么用数据源值查找</t>
        </r>
      </text>
    </comment>
    <comment ref="P1" authorId="0" shapeId="0">
      <text>
        <r>
          <rPr>
            <sz val="9"/>
            <color indexed="81"/>
            <rFont val="Tahoma"/>
            <family val="2"/>
          </rPr>
          <t xml:space="preserve">
从updateData取值</t>
        </r>
      </text>
    </comment>
  </commentList>
</comments>
</file>

<file path=xl/comments5.xml><?xml version="1.0" encoding="utf-8"?>
<comments xmlns="http://schemas.openxmlformats.org/spreadsheetml/2006/main">
  <authors>
    <author>James Chen</author>
  </authors>
  <commentList>
    <comment ref="H1" authorId="0" shapeId="0">
      <text>
        <r>
          <rPr>
            <b/>
            <sz val="9"/>
            <color indexed="81"/>
            <rFont val="Tahoma"/>
            <family val="2"/>
          </rPr>
          <t>remark:
如果是特殊的Tagmane 必填，比如 Ctrlselect,select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remark:</t>
        </r>
        <r>
          <rPr>
            <sz val="9"/>
            <color indexed="81"/>
            <rFont val="Tahoma"/>
            <family val="2"/>
          </rPr>
          <t xml:space="preserve">
unit :second
default: 1 second</t>
        </r>
      </text>
    </comment>
    <comment ref="M1" authorId="0" shapeId="0">
      <text>
        <r>
          <rPr>
            <sz val="9"/>
            <color indexed="81"/>
            <rFont val="Tahoma"/>
            <family val="2"/>
          </rPr>
          <t xml:space="preserve">
仅checkbox 使用
1.如果是value 那么需要在配置表Text_Value添加信息，如果是text 那么直接使用数据源的值查找
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 xml:space="preserve">
仅loopselect类型使用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 xml:space="preserve">
仅loopselect使用，
如果是fixvalue那么直接取itemName值查找，如不是，那么用数据源值查找</t>
        </r>
      </text>
    </comment>
    <comment ref="P1" authorId="0" shapeId="0">
      <text>
        <r>
          <rPr>
            <sz val="9"/>
            <color indexed="81"/>
            <rFont val="Tahoma"/>
            <family val="2"/>
          </rPr>
          <t xml:space="preserve">
从updateData取值</t>
        </r>
      </text>
    </comment>
  </commentList>
</comments>
</file>

<file path=xl/sharedStrings.xml><?xml version="1.0" encoding="utf-8"?>
<sst xmlns="http://schemas.openxmlformats.org/spreadsheetml/2006/main" count="7073" uniqueCount="1416">
  <si>
    <t>Name</t>
    <phoneticPr fontId="1" type="noConversion"/>
  </si>
  <si>
    <t>Message</t>
    <phoneticPr fontId="1" type="noConversion"/>
  </si>
  <si>
    <t>password</t>
  </si>
  <si>
    <t>PasswordControlID</t>
    <phoneticPr fontId="1" type="noConversion"/>
  </si>
  <si>
    <t>登录密码</t>
  </si>
  <si>
    <t>CardmediumControlID</t>
  </si>
  <si>
    <t>span3</t>
  </si>
  <si>
    <t>点击卡介质</t>
    <phoneticPr fontId="1" type="noConversion"/>
  </si>
  <si>
    <t>点击登录按钮</t>
    <phoneticPr fontId="1" type="noConversion"/>
  </si>
  <si>
    <t>loginbuttonControlID</t>
    <phoneticPr fontId="1" type="noConversion"/>
  </si>
  <si>
    <t>loginbutton</t>
  </si>
  <si>
    <t>关闭通知窗口的按钮</t>
    <phoneticPr fontId="1" type="noConversion"/>
  </si>
  <si>
    <t>CloseNoticeControlClassName</t>
  </si>
  <si>
    <t>layui-layer-close1</t>
  </si>
  <si>
    <t>layui-layer-close1</t>
    <phoneticPr fontId="1" type="noConversion"/>
  </si>
  <si>
    <t>业务办理银行</t>
  </si>
  <si>
    <t>BusinessBankControlID</t>
  </si>
  <si>
    <t>bankCode</t>
  </si>
  <si>
    <t>BusinessBank</t>
  </si>
  <si>
    <t>中国工商银行股份有限公司</t>
    <phoneticPr fontId="1" type="noConversion"/>
  </si>
  <si>
    <t>付款账号</t>
  </si>
  <si>
    <t>feeActNo</t>
  </si>
  <si>
    <t>付款方式</t>
  </si>
  <si>
    <t>payMode</t>
  </si>
  <si>
    <t>货到付款</t>
    <phoneticPr fontId="1" type="noConversion"/>
  </si>
  <si>
    <t>PaymentMethodControlID</t>
    <phoneticPr fontId="1" type="noConversion"/>
  </si>
  <si>
    <t>PaymentMethod</t>
  </si>
  <si>
    <t>汇款人名称</t>
  </si>
  <si>
    <t>汇款人地址（门牌号和街道）</t>
  </si>
  <si>
    <t>payerAddress1</t>
  </si>
  <si>
    <t>汇款人地址（城市）</t>
  </si>
  <si>
    <t>payerAddress2</t>
  </si>
  <si>
    <t>payerAddress3</t>
  </si>
  <si>
    <t>汇款人地址（国家）</t>
  </si>
  <si>
    <t>汇款人地址（编码）</t>
    <phoneticPr fontId="1" type="noConversion"/>
  </si>
  <si>
    <t>payerAddress4</t>
  </si>
  <si>
    <t>国内外费用承担</t>
  </si>
  <si>
    <t>feeMode</t>
  </si>
  <si>
    <t>FeeModeControlID</t>
    <phoneticPr fontId="1" type="noConversion"/>
  </si>
  <si>
    <t>FeeMode</t>
  </si>
  <si>
    <t>汇款人</t>
    <phoneticPr fontId="1" type="noConversion"/>
  </si>
  <si>
    <t>汇款附言</t>
  </si>
  <si>
    <t>furInfo</t>
  </si>
  <si>
    <t>remitType</t>
  </si>
  <si>
    <t>汇款方式</t>
  </si>
  <si>
    <t>电汇</t>
    <phoneticPr fontId="1" type="noConversion"/>
  </si>
  <si>
    <t>汇款金额</t>
  </si>
  <si>
    <t>remitAmount</t>
  </si>
  <si>
    <t>收款人账号</t>
  </si>
  <si>
    <t>payeeActno</t>
  </si>
  <si>
    <t>收款人地址</t>
  </si>
  <si>
    <t>payeeAddress</t>
    <phoneticPr fontId="1" type="noConversion"/>
  </si>
  <si>
    <t>收款人开户人名称</t>
  </si>
  <si>
    <t>payeeBankName</t>
  </si>
  <si>
    <t>收款人名称</t>
  </si>
  <si>
    <t>SWIFT code</t>
  </si>
  <si>
    <t>payeeBankSwiftCode</t>
  </si>
  <si>
    <t>countryName</t>
  </si>
  <si>
    <t>收款人常驻国家</t>
  </si>
  <si>
    <t>本笔款项是否为保税货物下付款</t>
  </si>
  <si>
    <t>isInlet</t>
  </si>
  <si>
    <t>IsInletControlID</t>
    <phoneticPr fontId="1" type="noConversion"/>
  </si>
  <si>
    <t>IsInlet</t>
  </si>
  <si>
    <t>否</t>
    <phoneticPr fontId="1" type="noConversion"/>
  </si>
  <si>
    <t>合同号</t>
  </si>
  <si>
    <t>contractNo</t>
  </si>
  <si>
    <t>transCode1Name</t>
    <phoneticPr fontId="1" type="noConversion"/>
  </si>
  <si>
    <t>交易编码1</t>
  </si>
  <si>
    <t>交易附言1</t>
    <phoneticPr fontId="1" type="noConversion"/>
  </si>
  <si>
    <t>furInfo1</t>
  </si>
  <si>
    <t>相应货币金额1</t>
  </si>
  <si>
    <t>amount1</t>
    <phoneticPr fontId="1" type="noConversion"/>
  </si>
  <si>
    <t>业务联系人姓名</t>
  </si>
  <si>
    <t>applicantName</t>
  </si>
  <si>
    <t>noticeType</t>
  </si>
  <si>
    <t>通知选项</t>
  </si>
  <si>
    <t>NoticeTypeControlID</t>
    <phoneticPr fontId="1" type="noConversion"/>
  </si>
  <si>
    <t>NoticeType</t>
  </si>
  <si>
    <t>业务联系人电话</t>
  </si>
  <si>
    <t>applicantPhone</t>
  </si>
  <si>
    <t>addDecBtn</t>
  </si>
  <si>
    <t>单击添加报关单</t>
  </si>
  <si>
    <t>cardVerification1</t>
  </si>
  <si>
    <t>CardVerification2ControlID</t>
  </si>
  <si>
    <t>cardVerification2</t>
  </si>
  <si>
    <t>CardVerification3ControlID</t>
  </si>
  <si>
    <t>cardVerification3</t>
  </si>
  <si>
    <t>CardVerification4ControlID</t>
  </si>
  <si>
    <t>cardVerification4</t>
  </si>
  <si>
    <t>CardVerification5ControlID</t>
  </si>
  <si>
    <t>CardVerification6ControlID</t>
  </si>
  <si>
    <t>cardVerification6</t>
  </si>
  <si>
    <t>CardVerification7ControlID</t>
  </si>
  <si>
    <t>cardVerification7</t>
  </si>
  <si>
    <t>CardVerification8ControlID</t>
  </si>
  <si>
    <t>cardVerification8</t>
  </si>
  <si>
    <t>请输入IC 卡密码</t>
  </si>
  <si>
    <t>CardVerification1ControlID</t>
    <phoneticPr fontId="1" type="noConversion"/>
  </si>
  <si>
    <t>CardVerification2</t>
  </si>
  <si>
    <t>CardVerification3</t>
  </si>
  <si>
    <t>CardVerification4</t>
  </si>
  <si>
    <t>CardVerification5</t>
  </si>
  <si>
    <t>CardVerification6</t>
  </si>
  <si>
    <t>CardVerification7</t>
  </si>
  <si>
    <t>CardVerification8</t>
  </si>
  <si>
    <t>请输入IC卡密码窗口</t>
  </si>
  <si>
    <t>EnterICPasswordComfirmBtnClassName</t>
  </si>
  <si>
    <t>layui-layer-btn0</t>
  </si>
  <si>
    <t>报关单查询窗口</t>
  </si>
  <si>
    <t>layui-layer8</t>
  </si>
  <si>
    <t>entryId</t>
  </si>
  <si>
    <t>输入报关单号</t>
  </si>
  <si>
    <t>点击报关点查询按钮</t>
  </si>
  <si>
    <t>remittanceQueryButton</t>
  </si>
  <si>
    <t>检查报关单号 （是否存在）</t>
    <phoneticPr fontId="1" type="noConversion"/>
  </si>
  <si>
    <t>点击选择一条报关单号</t>
  </si>
  <si>
    <t>btSelectItem</t>
  </si>
  <si>
    <t>点击添加选择的报关单</t>
  </si>
  <si>
    <t>remittanceAddButton</t>
  </si>
  <si>
    <t>关闭报关单查询窗口</t>
  </si>
  <si>
    <t>选择报关单</t>
  </si>
  <si>
    <t>useDecTable</t>
  </si>
  <si>
    <t>点击已阅读</t>
  </si>
  <si>
    <t>agreeLetter</t>
  </si>
  <si>
    <t>点击提交</t>
  </si>
  <si>
    <t>outwardSubmit</t>
  </si>
  <si>
    <t>ControlID</t>
    <phoneticPr fontId="1" type="noConversion"/>
  </si>
  <si>
    <t>ControlID_Value</t>
    <phoneticPr fontId="1" type="noConversion"/>
  </si>
  <si>
    <t>Defalut</t>
    <phoneticPr fontId="1" type="noConversion"/>
  </si>
  <si>
    <t>邮件通知</t>
    <phoneticPr fontId="1" type="noConversion"/>
  </si>
  <si>
    <t>MainUrl</t>
    <phoneticPr fontId="1" type="noConversion"/>
  </si>
  <si>
    <t>https://sz.singlewindow.cn/</t>
  </si>
  <si>
    <t>http://sz.singlewindow.cn/dyck/swProxy/deskserver/sw/deskIndex?menu_id=sfs001</t>
  </si>
  <si>
    <t>银行付款Link</t>
    <phoneticPr fontId="1" type="noConversion"/>
  </si>
  <si>
    <t>单一窗口网站URL</t>
    <phoneticPr fontId="1" type="noConversion"/>
  </si>
  <si>
    <t>BankingServicesUrl</t>
    <phoneticPr fontId="1" type="noConversion"/>
  </si>
  <si>
    <t>PayerAddress1</t>
  </si>
  <si>
    <t>PayerAddress2</t>
  </si>
  <si>
    <t>PayerAddress3ControlID</t>
    <phoneticPr fontId="1" type="noConversion"/>
  </si>
  <si>
    <t>PayerAddress3</t>
  </si>
  <si>
    <t>PayerAddress4</t>
  </si>
  <si>
    <t>RemitTypeControlID</t>
    <phoneticPr fontId="1" type="noConversion"/>
  </si>
  <si>
    <t>RemitType</t>
  </si>
  <si>
    <t>PayeeAddress</t>
  </si>
  <si>
    <t>PayeeCountryName</t>
  </si>
  <si>
    <t>ContractNo</t>
  </si>
  <si>
    <t>TransCode1Name</t>
  </si>
  <si>
    <t>FurInfo1</t>
  </si>
  <si>
    <t>ApplicantName</t>
  </si>
  <si>
    <t>ApplicantPhone</t>
  </si>
  <si>
    <t>AddDecBtn</t>
  </si>
  <si>
    <t>EntryId</t>
  </si>
  <si>
    <t>remittanceBtSelectItemQueryControlName</t>
    <phoneticPr fontId="1" type="noConversion"/>
  </si>
  <si>
    <t>报关单号</t>
    <phoneticPr fontId="1" type="noConversion"/>
  </si>
  <si>
    <t>RunTime</t>
    <phoneticPr fontId="1" type="noConversion"/>
  </si>
  <si>
    <t>上报时间</t>
    <phoneticPr fontId="1" type="noConversion"/>
  </si>
  <si>
    <t>上传结果</t>
    <phoneticPr fontId="1" type="noConversion"/>
  </si>
  <si>
    <t>menu_li</t>
  </si>
  <si>
    <t>menuliControlID</t>
    <phoneticPr fontId="1" type="noConversion"/>
  </si>
  <si>
    <t>ListlabelClassName</t>
    <phoneticPr fontId="1" type="noConversion"/>
  </si>
  <si>
    <t>nav-label</t>
  </si>
  <si>
    <t>ListmenuItemClassName</t>
    <phoneticPr fontId="1" type="noConversion"/>
  </si>
  <si>
    <t>J_menuItem</t>
  </si>
  <si>
    <t>国际结算/汇出汇款</t>
    <phoneticPr fontId="1" type="noConversion"/>
  </si>
  <si>
    <t>BusinessBank</t>
    <phoneticPr fontId="1" type="noConversion"/>
  </si>
  <si>
    <t>CardVerification1</t>
    <phoneticPr fontId="1" type="noConversion"/>
  </si>
  <si>
    <t>cardVerification5</t>
    <phoneticPr fontId="1" type="noConversion"/>
  </si>
  <si>
    <t>Result</t>
    <phoneticPr fontId="1" type="noConversion"/>
  </si>
  <si>
    <t>EntryIdControlID</t>
    <phoneticPr fontId="1" type="noConversion"/>
  </si>
  <si>
    <t>remittanceQueryFormControlID</t>
    <phoneticPr fontId="1" type="noConversion"/>
  </si>
  <si>
    <t>remittanceQueryButtonControlID</t>
    <phoneticPr fontId="1" type="noConversion"/>
  </si>
  <si>
    <t>remittanceBtSelectItemQueryControlName</t>
    <phoneticPr fontId="1" type="noConversion"/>
  </si>
  <si>
    <t>remittanceAddButtonControlID</t>
    <phoneticPr fontId="1" type="noConversion"/>
  </si>
  <si>
    <t>CloseRemittanceQueryFormClassName</t>
    <phoneticPr fontId="1" type="noConversion"/>
  </si>
  <si>
    <t>remittanceUseDecTableControlID</t>
    <phoneticPr fontId="1" type="noConversion"/>
  </si>
  <si>
    <t>RemittanceUsageAmountControlName</t>
    <phoneticPr fontId="1" type="noConversion"/>
  </si>
  <si>
    <t>Amount</t>
    <phoneticPr fontId="1" type="noConversion"/>
  </si>
  <si>
    <t>PaymentAccount</t>
    <phoneticPr fontId="1" type="noConversion"/>
  </si>
  <si>
    <t>PaymentMethod</t>
    <phoneticPr fontId="1" type="noConversion"/>
  </si>
  <si>
    <t>汇款币种</t>
    <phoneticPr fontId="1" type="noConversion"/>
  </si>
  <si>
    <t>remitCurrencyCodeName</t>
  </si>
  <si>
    <t>FeeMode</t>
    <phoneticPr fontId="1" type="noConversion"/>
  </si>
  <si>
    <t>RemittanceAppendix</t>
    <phoneticPr fontId="1" type="noConversion"/>
  </si>
  <si>
    <t>PayeeAccount</t>
    <phoneticPr fontId="1" type="noConversion"/>
  </si>
  <si>
    <t>IsInlet</t>
    <phoneticPr fontId="1" type="noConversion"/>
  </si>
  <si>
    <t>RemitType</t>
    <phoneticPr fontId="1" type="noConversion"/>
  </si>
  <si>
    <t>PaymentAccountControlID</t>
    <phoneticPr fontId="1" type="noConversion"/>
  </si>
  <si>
    <t>888</t>
    <phoneticPr fontId="1" type="noConversion"/>
  </si>
  <si>
    <t>PayerAddress1ControlID</t>
    <phoneticPr fontId="1" type="noConversion"/>
  </si>
  <si>
    <t>PayerAddress2</t>
    <phoneticPr fontId="1" type="noConversion"/>
  </si>
  <si>
    <t>PayerAddress3</t>
    <phoneticPr fontId="1" type="noConversion"/>
  </si>
  <si>
    <t>PayerAddress4</t>
    <phoneticPr fontId="1" type="noConversion"/>
  </si>
  <si>
    <t>NameOfRemitterControlID</t>
    <phoneticPr fontId="1" type="noConversion"/>
  </si>
  <si>
    <t>RemittanceAppendixControlID</t>
    <phoneticPr fontId="1" type="noConversion"/>
  </si>
  <si>
    <t>RemittanceAppendix</t>
  </si>
  <si>
    <t>PayeeAccountControlID</t>
    <phoneticPr fontId="1" type="noConversion"/>
  </si>
  <si>
    <t>PayeeAccount</t>
  </si>
  <si>
    <t>PayeeName</t>
  </si>
  <si>
    <t>PayeeBankSwiftCodeControlID</t>
    <phoneticPr fontId="1" type="noConversion"/>
  </si>
  <si>
    <t>PayeeBankSwiftCode</t>
  </si>
  <si>
    <t>PayeeCountryNameControlID</t>
    <phoneticPr fontId="1" type="noConversion"/>
  </si>
  <si>
    <t>中国</t>
  </si>
  <si>
    <t>ContractNoControlID</t>
    <phoneticPr fontId="1" type="noConversion"/>
  </si>
  <si>
    <t>FurInfo1ControlID</t>
    <phoneticPr fontId="1" type="noConversion"/>
  </si>
  <si>
    <t>PayerAddress2ControlID</t>
    <phoneticPr fontId="1" type="noConversion"/>
  </si>
  <si>
    <t>Amount1ControlID</t>
    <phoneticPr fontId="1" type="noConversion"/>
  </si>
  <si>
    <t>Amount1</t>
  </si>
  <si>
    <t>ApplicantNameControlID</t>
    <phoneticPr fontId="1" type="noConversion"/>
  </si>
  <si>
    <t>AddDecBtnControlID</t>
    <phoneticPr fontId="1" type="noConversion"/>
  </si>
  <si>
    <t>报关单号明细表</t>
    <phoneticPr fontId="1" type="noConversion"/>
  </si>
  <si>
    <t>美元</t>
  </si>
  <si>
    <t>AgreeLetterControlID</t>
    <phoneticPr fontId="1" type="noConversion"/>
  </si>
  <si>
    <t>17520488888</t>
    <phoneticPr fontId="1" type="noConversion"/>
  </si>
  <si>
    <t>PayeeName</t>
    <phoneticPr fontId="1" type="noConversion"/>
  </si>
  <si>
    <t>PayeeNameControlID</t>
    <phoneticPr fontId="1" type="noConversion"/>
  </si>
  <si>
    <t>PayerName</t>
  </si>
  <si>
    <t>PayerName</t>
    <phoneticPr fontId="1" type="noConversion"/>
  </si>
  <si>
    <t>4000021219200065217</t>
    <phoneticPr fontId="1" type="noConversion"/>
  </si>
  <si>
    <t>购款账户</t>
    <phoneticPr fontId="1" type="noConversion"/>
  </si>
  <si>
    <t>4000021219200065217</t>
    <phoneticPr fontId="1" type="noConversion"/>
  </si>
  <si>
    <t>purchaseActNo</t>
    <phoneticPr fontId="1" type="noConversion"/>
  </si>
  <si>
    <t>PurchaseActNo</t>
  </si>
  <si>
    <t>PayeeBankNameControlID</t>
    <phoneticPr fontId="1" type="noConversion"/>
  </si>
  <si>
    <t>PurchaseActNoControlID</t>
    <phoneticPr fontId="1" type="noConversion"/>
  </si>
  <si>
    <t>payerName</t>
    <phoneticPr fontId="1" type="noConversion"/>
  </si>
  <si>
    <t>payeeName1</t>
    <phoneticPr fontId="1" type="noConversion"/>
  </si>
  <si>
    <t>selectCurrencyCode</t>
    <phoneticPr fontId="1" type="noConversion"/>
  </si>
  <si>
    <t>SelectCurrencyCodeControlID</t>
    <phoneticPr fontId="1" type="noConversion"/>
  </si>
  <si>
    <t>点击选择汇款币种按钮</t>
    <phoneticPr fontId="1" type="noConversion"/>
  </si>
  <si>
    <t>Currency</t>
  </si>
  <si>
    <t>Currency</t>
    <phoneticPr fontId="1" type="noConversion"/>
  </si>
  <si>
    <t>汇款币种选择窗口清单</t>
    <phoneticPr fontId="1" type="noConversion"/>
  </si>
  <si>
    <t>currencyCode</t>
  </si>
  <si>
    <t>RemitCurrencyCodeNameControlID</t>
    <phoneticPr fontId="1" type="noConversion"/>
  </si>
  <si>
    <t>CurrencyCodeListControlName</t>
    <phoneticPr fontId="1" type="noConversion"/>
  </si>
  <si>
    <t>530420201040015326,530420201040008799</t>
    <phoneticPr fontId="1" type="noConversion"/>
  </si>
  <si>
    <t>usageAmount</t>
    <phoneticPr fontId="1" type="noConversion"/>
  </si>
  <si>
    <t>UsageAmount</t>
    <phoneticPr fontId="1" type="noConversion"/>
  </si>
  <si>
    <t>100</t>
    <phoneticPr fontId="1" type="noConversion"/>
  </si>
  <si>
    <t>100,50</t>
    <phoneticPr fontId="1" type="noConversion"/>
  </si>
  <si>
    <t>输入占用报关单金额金额(100,50)</t>
    <phoneticPr fontId="1" type="noConversion"/>
  </si>
  <si>
    <t>remittanceTable</t>
    <phoneticPr fontId="1" type="noConversion"/>
  </si>
  <si>
    <t>RemittanceTableControlID</t>
    <phoneticPr fontId="1" type="noConversion"/>
  </si>
  <si>
    <t>btSelectAll</t>
  </si>
  <si>
    <t>remittanceBtSelectItemControlName</t>
    <phoneticPr fontId="1" type="noConversion"/>
  </si>
  <si>
    <t>BtSelectAllControlName</t>
    <phoneticPr fontId="1" type="noConversion"/>
  </si>
  <si>
    <t>选择添加的全部报关单号</t>
    <phoneticPr fontId="1" type="noConversion"/>
  </si>
  <si>
    <t>一般贸易</t>
  </si>
  <si>
    <t>交易编码1—隐藏下拉列表</t>
    <phoneticPr fontId="1" type="noConversion"/>
  </si>
  <si>
    <t>autocompleter-3</t>
  </si>
  <si>
    <t>TransCode1NameListControlID</t>
    <phoneticPr fontId="1" type="noConversion"/>
  </si>
  <si>
    <t>CardVerification2</t>
    <phoneticPr fontId="1" type="noConversion"/>
  </si>
  <si>
    <t>CardVerification5</t>
    <phoneticPr fontId="1" type="noConversion"/>
  </si>
  <si>
    <t>CardVerification1</t>
    <phoneticPr fontId="1" type="noConversion"/>
  </si>
  <si>
    <t>CardVerification</t>
  </si>
  <si>
    <t>selectPayeeBank</t>
  </si>
  <si>
    <t>PayeeAddressControlID</t>
    <phoneticPr fontId="1" type="noConversion"/>
  </si>
  <si>
    <t>收款人开户人名称_点击打开seach窗口</t>
    <phoneticPr fontId="1" type="noConversion"/>
  </si>
  <si>
    <t>SelectPayeeBankControlName</t>
    <phoneticPr fontId="1" type="noConversion"/>
  </si>
  <si>
    <t>收款人开户人名称_biccode</t>
    <phoneticPr fontId="1" type="noConversion"/>
  </si>
  <si>
    <t>payeeBankTableEn</t>
    <phoneticPr fontId="1" type="noConversion"/>
  </si>
  <si>
    <t>收款人开户人名称</t>
    <phoneticPr fontId="1" type="noConversion"/>
  </si>
  <si>
    <t>payeeBankBtnEn</t>
  </si>
  <si>
    <t>PayeeBankBtnEnControlID</t>
    <phoneticPr fontId="1" type="noConversion"/>
  </si>
  <si>
    <t>BtSelectItemControlName</t>
    <phoneticPr fontId="1" type="noConversion"/>
  </si>
  <si>
    <t>PayeeBankName</t>
    <phoneticPr fontId="1" type="noConversion"/>
  </si>
  <si>
    <t>branchCD</t>
    <phoneticPr fontId="1" type="noConversion"/>
  </si>
  <si>
    <t>收款人开户人名称_BtSelectItem</t>
    <phoneticPr fontId="1" type="noConversion"/>
  </si>
  <si>
    <t>收款人开户人名称_payeeBankTable</t>
    <phoneticPr fontId="1" type="noConversion"/>
  </si>
  <si>
    <t>selectPayeeBankContent</t>
  </si>
  <si>
    <t>PayeeBankTableEnControlID</t>
    <phoneticPr fontId="1" type="noConversion"/>
  </si>
  <si>
    <t>pagination-detail</t>
  </si>
  <si>
    <t>PelectPayeeBankContentControlID</t>
    <phoneticPr fontId="1" type="noConversion"/>
  </si>
  <si>
    <t>PaginationDetailClassName</t>
    <phoneticPr fontId="1" type="noConversion"/>
  </si>
  <si>
    <t>dropdown-menu</t>
    <phoneticPr fontId="1" type="noConversion"/>
  </si>
  <si>
    <t>DropdownMenuClassName</t>
    <phoneticPr fontId="1" type="noConversion"/>
  </si>
  <si>
    <t>dropdown-toggle</t>
  </si>
  <si>
    <t>DropdownToggleClassName</t>
    <phoneticPr fontId="1" type="noConversion"/>
  </si>
  <si>
    <t>PCBCCNBJSHX</t>
    <phoneticPr fontId="1" type="noConversion"/>
  </si>
  <si>
    <t>收款人开户人名称_search</t>
    <phoneticPr fontId="1" type="noConversion"/>
  </si>
  <si>
    <t>branchCode</t>
    <phoneticPr fontId="1" type="noConversion"/>
  </si>
  <si>
    <t>BicCodeControlID</t>
    <phoneticPr fontId="1" type="noConversion"/>
  </si>
  <si>
    <t>BranchCodeControlID</t>
    <phoneticPr fontId="1" type="noConversion"/>
  </si>
  <si>
    <t>收款人开户人名称_BranchCode</t>
    <phoneticPr fontId="1" type="noConversion"/>
  </si>
  <si>
    <t>//收款人开户人名称_payeeBank 查询窗口（如果Seach超过10条记录）</t>
    <phoneticPr fontId="1" type="noConversion"/>
  </si>
  <si>
    <t>//收款人开户人名称_payeeBank 查询窗口（如果Seach超过11条记录）</t>
  </si>
  <si>
    <t>//收款人开户人名称_payeeBank 查询窗口（如果Seach超过12条记录）</t>
  </si>
  <si>
    <t>//收款人开户人名称_payeeBank 查询窗口（如果Seach超过13条记录）</t>
  </si>
  <si>
    <t>WAL-MART(CHINA) INVESTMENT CO.,LTD.</t>
  </si>
  <si>
    <t>12F TOWER3 SZITIC SQUARE.69 NONGLIN ROAD FUTIAN DISTRICT</t>
  </si>
  <si>
    <t>SHENZHEN</t>
  </si>
  <si>
    <t>CHINA</t>
  </si>
  <si>
    <t>518000</t>
  </si>
  <si>
    <t>C:\Users\Walmart\Documents\Direct Import\UploadSinWinData.xlsx</t>
  </si>
  <si>
    <t>strUploadSinWinDataPath</t>
    <phoneticPr fontId="1" type="noConversion"/>
  </si>
  <si>
    <t>PayeeBankName</t>
    <phoneticPr fontId="1" type="noConversion"/>
  </si>
  <si>
    <t>PayeeBankSwiftBic</t>
    <phoneticPr fontId="1" type="noConversion"/>
  </si>
  <si>
    <t>SWIFT Bic</t>
    <phoneticPr fontId="1" type="noConversion"/>
  </si>
  <si>
    <t>EnterICPasswordFormClassName</t>
    <phoneticPr fontId="1" type="noConversion"/>
  </si>
  <si>
    <t>layer-anim</t>
  </si>
  <si>
    <t>purchaseActNo</t>
  </si>
  <si>
    <t>PayerAddress4ControlID</t>
    <phoneticPr fontId="1" type="noConversion"/>
  </si>
  <si>
    <t>PurchaseActNoControlID</t>
    <phoneticPr fontId="1" type="noConversion"/>
  </si>
  <si>
    <t>购汇账户</t>
    <phoneticPr fontId="1" type="noConversion"/>
  </si>
  <si>
    <t>purchaseAmount</t>
  </si>
  <si>
    <t>RemitAmountControlID</t>
    <phoneticPr fontId="1" type="noConversion"/>
  </si>
  <si>
    <t>PurchaseAmountControlID</t>
    <phoneticPr fontId="1" type="noConversion"/>
  </si>
  <si>
    <t>noticeEmail</t>
  </si>
  <si>
    <t>ApplicantPhoneControlID</t>
    <phoneticPr fontId="1" type="noConversion"/>
  </si>
  <si>
    <t>NoticeEmailControlID</t>
    <phoneticPr fontId="1" type="noConversion"/>
  </si>
  <si>
    <t>联系人邮箱</t>
    <phoneticPr fontId="1" type="noConversion"/>
  </si>
  <si>
    <t>PaymentAccount</t>
    <phoneticPr fontId="1" type="noConversion"/>
  </si>
  <si>
    <t>OutwardSubmitControlID</t>
    <phoneticPr fontId="1" type="noConversion"/>
  </si>
  <si>
    <t>DouSubmit1ClassName</t>
    <phoneticPr fontId="1" type="noConversion"/>
  </si>
  <si>
    <t>点击提交 Double confirm 1 窗口</t>
    <phoneticPr fontId="1" type="noConversion"/>
  </si>
  <si>
    <t>DouSubmit2ClassName</t>
    <phoneticPr fontId="1" type="noConversion"/>
  </si>
  <si>
    <t>点击提交 Double confirm 2 窗口</t>
    <phoneticPr fontId="1" type="noConversion"/>
  </si>
  <si>
    <t>DouSubmit1BtnClassName</t>
    <phoneticPr fontId="1" type="noConversion"/>
  </si>
  <si>
    <t>DouSubmit2BtnClassName</t>
    <phoneticPr fontId="1" type="noConversion"/>
  </si>
  <si>
    <t>确实是否提交窗口1 ，点击确定按钮</t>
    <phoneticPr fontId="1" type="noConversion"/>
  </si>
  <si>
    <t>确实是否提交窗口2 ，点击确定按钮</t>
    <phoneticPr fontId="1" type="noConversion"/>
  </si>
  <si>
    <t>购汇金额</t>
    <phoneticPr fontId="1" type="noConversion"/>
  </si>
  <si>
    <t>PaymentAccount</t>
    <phoneticPr fontId="1" type="noConversion"/>
  </si>
  <si>
    <t>业务联系人邮箱</t>
    <phoneticPr fontId="1" type="noConversion"/>
  </si>
  <si>
    <t>NoticeEmail</t>
  </si>
  <si>
    <t>NoticeEmail</t>
    <phoneticPr fontId="1" type="noConversion"/>
  </si>
  <si>
    <t>TransCode1NameControlID</t>
    <phoneticPr fontId="1" type="noConversion"/>
  </si>
  <si>
    <t>TransCode1Name</t>
    <phoneticPr fontId="1" type="noConversion"/>
  </si>
  <si>
    <t>strLogPath</t>
    <phoneticPr fontId="1" type="noConversion"/>
  </si>
  <si>
    <t>strUSBUploadSinWinDataPath</t>
    <phoneticPr fontId="1" type="noConversion"/>
  </si>
  <si>
    <t>C:\Users\Walmart\Documents\Direct Import\Log\Log.txt</t>
  </si>
  <si>
    <t>blNeedClickSubmitBtn</t>
    <phoneticPr fontId="1" type="noConversion"/>
  </si>
  <si>
    <t>C:\Users\Walmart\Desktop\USB\UploadSinWinData.xlsx</t>
    <phoneticPr fontId="1" type="noConversion"/>
  </si>
  <si>
    <t>企业联系电话</t>
  </si>
  <si>
    <t>nbtel</t>
  </si>
  <si>
    <t>nbemail</t>
  </si>
  <si>
    <t>电子邮箱</t>
  </si>
  <si>
    <t>企业主营业务活动</t>
  </si>
  <si>
    <t>nbmainbusiact</t>
  </si>
  <si>
    <t>企业通信地址</t>
  </si>
  <si>
    <t>nbaddr</t>
  </si>
  <si>
    <t>nbpostalcode</t>
  </si>
  <si>
    <t>邮政编码</t>
  </si>
  <si>
    <t>ifhasweb</t>
  </si>
  <si>
    <t>企业是否有投资信息或购买其他公司股权</t>
  </si>
  <si>
    <t>ifinvother</t>
  </si>
  <si>
    <t>企业经营状态</t>
  </si>
  <si>
    <t>nbbusst</t>
  </si>
  <si>
    <t>有限责任公司本年度是否发生股东股权转让</t>
  </si>
  <si>
    <t>ifhasgqzr</t>
  </si>
  <si>
    <t>nbempnum</t>
  </si>
  <si>
    <t>从业人数</t>
  </si>
  <si>
    <t>(其中女性从业人数)</t>
  </si>
  <si>
    <t>womempnum</t>
  </si>
  <si>
    <t>企业控股情况</t>
  </si>
  <si>
    <t>nbholdingsmsg</t>
  </si>
  <si>
    <t>基本信息保存按钮</t>
  </si>
  <si>
    <t>备注</t>
  </si>
  <si>
    <t>基本信息</t>
  </si>
  <si>
    <t>股东及出资信息</t>
  </si>
  <si>
    <t>报关信息</t>
  </si>
  <si>
    <t>hgenfullco</t>
  </si>
  <si>
    <t>hgenaddrco</t>
  </si>
  <si>
    <t>crossbordertradeflags</t>
  </si>
  <si>
    <t>checkbox</t>
  </si>
  <si>
    <t>电子商务企业</t>
  </si>
  <si>
    <t>hgaccobanknm</t>
  </si>
  <si>
    <t>hgaccono</t>
  </si>
  <si>
    <t>hgspecialtradezone</t>
  </si>
  <si>
    <t>hgapanageregion</t>
  </si>
  <si>
    <t>下拉</t>
  </si>
  <si>
    <t>hgcusspename</t>
  </si>
  <si>
    <t>hgcusspecertype</t>
  </si>
  <si>
    <t>hgcusspecerno</t>
  </si>
  <si>
    <t>hgcusspetel</t>
  </si>
  <si>
    <t>hgcusspemobile</t>
  </si>
  <si>
    <t>hgcusspeemail</t>
  </si>
  <si>
    <t>hgcontacname</t>
  </si>
  <si>
    <t>hgcontacttel</t>
  </si>
  <si>
    <t>hgcontactmobile</t>
  </si>
  <si>
    <t>hgcontactemail</t>
  </si>
  <si>
    <t>hgcontactfax</t>
  </si>
  <si>
    <t>hgsiteflag</t>
  </si>
  <si>
    <t>marketflag</t>
  </si>
  <si>
    <t>accountflag</t>
  </si>
  <si>
    <t>hgfinsoft</t>
  </si>
  <si>
    <t>hgaccounttype</t>
  </si>
  <si>
    <t>sustainedlosses</t>
  </si>
  <si>
    <t>hggoodsinstock</t>
  </si>
  <si>
    <t>hgcashliability</t>
  </si>
  <si>
    <t>hgcirculatingassets</t>
  </si>
  <si>
    <t>hgnetcashflow</t>
  </si>
  <si>
    <t>hgoperatingprofit</t>
  </si>
  <si>
    <t>hgownersequity</t>
  </si>
  <si>
    <t>isaudited</t>
  </si>
  <si>
    <t>下拉 否</t>
  </si>
  <si>
    <t>existingproblems</t>
  </si>
  <si>
    <t>hgproblems</t>
  </si>
  <si>
    <t>无</t>
  </si>
  <si>
    <t>报关信息保存按钮</t>
  </si>
  <si>
    <t>外商投资基本情况</t>
  </si>
  <si>
    <t>nbenentname</t>
  </si>
  <si>
    <t>经营范围是否涉及国家规定实施的准入特别管理措施</t>
  </si>
  <si>
    <t>nbopscope</t>
  </si>
  <si>
    <t>specmanagement</t>
  </si>
  <si>
    <t>listent</t>
  </si>
  <si>
    <t>publiccompany</t>
  </si>
  <si>
    <t>funinstitutions</t>
  </si>
  <si>
    <t>rdcent</t>
  </si>
  <si>
    <t>subcomrdcent</t>
  </si>
  <si>
    <t>indeprddiv</t>
  </si>
  <si>
    <t>foreemnum</t>
  </si>
  <si>
    <t>uniaboempnum</t>
  </si>
  <si>
    <t>curyearsalary</t>
  </si>
  <si>
    <t>demdepauthnum</t>
  </si>
  <si>
    <t>outdepauthnum</t>
  </si>
  <si>
    <t>外商投资基本情况保存按钮</t>
  </si>
  <si>
    <t>外商投资经营情况</t>
  </si>
  <si>
    <t>opcost</t>
  </si>
  <si>
    <t>opexp</t>
  </si>
  <si>
    <t>rdspending</t>
  </si>
  <si>
    <t>vat</t>
  </si>
  <si>
    <t>busitax</t>
  </si>
  <si>
    <t>consumtax</t>
  </si>
  <si>
    <t>entincometax</t>
  </si>
  <si>
    <t>indincometax</t>
  </si>
  <si>
    <t>tariffs</t>
  </si>
  <si>
    <t>allotforprofits</t>
  </si>
  <si>
    <t>remitforprofits</t>
  </si>
  <si>
    <t>fornetprofit</t>
  </si>
  <si>
    <t>forproftoinv</t>
  </si>
  <si>
    <t>increaseregcap</t>
  </si>
  <si>
    <t>transothent</t>
  </si>
  <si>
    <t>forloanfloatation</t>
  </si>
  <si>
    <t>forloanrepayment</t>
  </si>
  <si>
    <t>liabilitiestotal</t>
  </si>
  <si>
    <t>depositam</t>
  </si>
  <si>
    <t>credrighttotal</t>
  </si>
  <si>
    <t>imeqduty</t>
  </si>
  <si>
    <t>currentassets</t>
  </si>
  <si>
    <t>noncurrentassets</t>
  </si>
  <si>
    <t>othereceivables</t>
  </si>
  <si>
    <t>loequinv</t>
  </si>
  <si>
    <t>netfixassets</t>
  </si>
  <si>
    <t>intass</t>
  </si>
  <si>
    <t>currentliabilities</t>
  </si>
  <si>
    <t>noncurrentliabilities</t>
  </si>
  <si>
    <t>fordividend</t>
  </si>
  <si>
    <t>otherpayables</t>
  </si>
  <si>
    <t>reccap</t>
  </si>
  <si>
    <t>capre</t>
  </si>
  <si>
    <t>surpres</t>
  </si>
  <si>
    <t>undisprofit</t>
  </si>
  <si>
    <t>other</t>
  </si>
  <si>
    <t>invsequity</t>
  </si>
  <si>
    <t>forreccap</t>
  </si>
  <si>
    <t>forcapre</t>
  </si>
  <si>
    <t>forsurpres</t>
  </si>
  <si>
    <t>forundisprofit</t>
  </si>
  <si>
    <t>forother</t>
  </si>
  <si>
    <t>外商投资经营情况保存按钮</t>
  </si>
  <si>
    <t>j_username</t>
  </si>
  <si>
    <t>登录账号</t>
  </si>
  <si>
    <t>telephoneShow</t>
  </si>
  <si>
    <t>登录手机号</t>
  </si>
  <si>
    <t>telephoneCode</t>
  </si>
  <si>
    <t>登录验证码</t>
  </si>
  <si>
    <t>sendCode</t>
  </si>
  <si>
    <t>获取验证码</t>
  </si>
  <si>
    <t>form-ok</t>
  </si>
  <si>
    <t>登录系统</t>
  </si>
  <si>
    <t>id</t>
  </si>
  <si>
    <t>TagName</t>
  </si>
  <si>
    <t>input</t>
  </si>
  <si>
    <t>name</t>
  </si>
  <si>
    <t>foreigninvtype</t>
  </si>
  <si>
    <t>button</t>
  </si>
  <si>
    <t>ParentID</t>
  </si>
  <si>
    <t>Module</t>
  </si>
  <si>
    <t>ParentIndex</t>
  </si>
  <si>
    <t>选择年报</t>
  </si>
  <si>
    <t>年报填报修改</t>
  </si>
  <si>
    <t>table</t>
  </si>
  <si>
    <t>tbody</t>
  </si>
  <si>
    <t>tr</t>
  </si>
  <si>
    <t>td</t>
  </si>
  <si>
    <t>a</t>
  </si>
  <si>
    <t>SelectIndex</t>
  </si>
  <si>
    <t>jbxx</t>
  </si>
  <si>
    <t>bgxx</t>
  </si>
  <si>
    <t>wsjb</t>
  </si>
  <si>
    <t>ItemName</t>
  </si>
  <si>
    <t>SearchType</t>
  </si>
  <si>
    <t>findElementType</t>
  </si>
  <si>
    <t>FindElement</t>
  </si>
  <si>
    <t>FindElements</t>
  </si>
  <si>
    <t>Action</t>
  </si>
  <si>
    <t>Click</t>
  </si>
  <si>
    <t>vilid</t>
  </si>
  <si>
    <t>click</t>
  </si>
  <si>
    <t>Action _testing</t>
  </si>
  <si>
    <t>czxx</t>
  </si>
  <si>
    <t>tbnbczxxs</t>
  </si>
  <si>
    <t>span</t>
  </si>
  <si>
    <t>nbczxxinv</t>
  </si>
  <si>
    <t>nbczxxlisubconam</t>
  </si>
  <si>
    <t>nbczxxsubconcurrency</t>
  </si>
  <si>
    <t>nbczxxsubcondate</t>
  </si>
  <si>
    <t>nbczxxsubconform</t>
  </si>
  <si>
    <t>Ctrlselect</t>
  </si>
  <si>
    <t>text</t>
  </si>
  <si>
    <t>BeforeDelayTime</t>
  </si>
  <si>
    <t>nbczxxliacconam</t>
  </si>
  <si>
    <t>nbczxxaccondate</t>
  </si>
  <si>
    <t>nbczxxacconform</t>
  </si>
  <si>
    <t>basemodal</t>
  </si>
  <si>
    <t>showInfo</t>
  </si>
  <si>
    <t>登录异常提示</t>
  </si>
  <si>
    <t>gettext</t>
  </si>
  <si>
    <t>wstzz</t>
  </si>
  <si>
    <t>tbnbwstzzs</t>
  </si>
  <si>
    <t>investor</t>
  </si>
  <si>
    <t>eninvestor</t>
  </si>
  <si>
    <t>nbwstzzcountry</t>
  </si>
  <si>
    <t>nbwstzzcapsoul</t>
  </si>
  <si>
    <t>nbwstzzcertype</t>
  </si>
  <si>
    <t>cerno</t>
  </si>
  <si>
    <t>worldentinv</t>
  </si>
  <si>
    <t>invnature</t>
  </si>
  <si>
    <t>invtype</t>
  </si>
  <si>
    <t>删除原有的投资者（合伙人）信息</t>
  </si>
  <si>
    <t>新增投资者（合伙人）信息</t>
  </si>
  <si>
    <t>sjkzr</t>
  </si>
  <si>
    <t>actconname</t>
  </si>
  <si>
    <t>enactconname</t>
  </si>
  <si>
    <t>nbsjkzrcountry</t>
  </si>
  <si>
    <t>nbsjkzrcertype</t>
  </si>
  <si>
    <t>nbsjkzractcontype</t>
  </si>
  <si>
    <t>nbsjkzractconmode</t>
  </si>
  <si>
    <t>entactualcon</t>
  </si>
  <si>
    <t>sjkzrmodal</t>
  </si>
  <si>
    <t>投资者（合伙人）信息</t>
  </si>
  <si>
    <t>default</t>
  </si>
  <si>
    <t>是否有网站或网店</t>
  </si>
  <si>
    <t>特种设备信息-办理使用登记特种设备总台数</t>
  </si>
  <si>
    <t>特种设备信息-检验有效期内特种设备总台数</t>
  </si>
  <si>
    <t>是否有对外担保</t>
  </si>
  <si>
    <t>外商投资基本情况-名称(英文)</t>
  </si>
  <si>
    <t>特别管理措施-符合条件的港澳投资者、服务提供者经营范围是否涉及内地与香港、澳门《CEPA服务贸易协议》《CEPA投资协议》负面清单内的领域</t>
  </si>
  <si>
    <t>外商投资基本情况-是否为上市公司</t>
  </si>
  <si>
    <t>外商投资基本情况-是否非上市的公众公司</t>
  </si>
  <si>
    <t>外商投资基本情况-是否为功能性机构</t>
  </si>
  <si>
    <t>外商投资基本情况-是否为研发中心</t>
  </si>
  <si>
    <t>外商投资基本情况-不涉及以上类型</t>
  </si>
  <si>
    <t>外商投资基本情况-境内知识产权行政部门授权</t>
  </si>
  <si>
    <t>外商投资基本情况-境外知识产权行政部门授权</t>
  </si>
  <si>
    <t>投资者信息-姓名/名称(英文)</t>
  </si>
  <si>
    <t>投资者信息-资金来源地</t>
  </si>
  <si>
    <t>投资者信息-是否有世界500强企业参与投资</t>
  </si>
  <si>
    <t>投资者信息-500强企业名称</t>
  </si>
  <si>
    <t>投资者信息-投资者性质</t>
  </si>
  <si>
    <t>投资者信息-投资者类型</t>
  </si>
  <si>
    <t>进口设备减免税情况-是否享受国家规定的进口设备减免税</t>
  </si>
  <si>
    <t>外商投资经营情况-纳税总额-增值税(万元)</t>
  </si>
  <si>
    <t>外商投资经营情况-纳税总额-消费税(万元)</t>
  </si>
  <si>
    <t>外商投资经营情况-纳税总额-营业税(万元)</t>
  </si>
  <si>
    <t>外商投资经营情况-纳税总额-企业所得税(万元)</t>
  </si>
  <si>
    <t>外商投资经营情况-纳税总额-个人所得税(万元)</t>
  </si>
  <si>
    <t>外商投资经营情况-纳税总额-关税(万元)</t>
  </si>
  <si>
    <t>外商投资经营情况-经营情况-营业成本</t>
  </si>
  <si>
    <t>外商投资经营情况-经营情况-营业费用</t>
  </si>
  <si>
    <t>外商投资经营情况-经营情况-研发投入</t>
  </si>
  <si>
    <t>外商投资经营情况-经营情况-净利润-外方股东享有的净利润</t>
  </si>
  <si>
    <t>外商投资经营情况-经营情况-净利润-分配外方股东的利润</t>
  </si>
  <si>
    <t>外商投资经营情况-经营情况-净利润-汇往外方股东的利润</t>
  </si>
  <si>
    <t>参保各险种人数-城镇职工基本养老保险</t>
  </si>
  <si>
    <t>参保各险种人数-失业保险</t>
  </si>
  <si>
    <t>参保各险种人数-职工基本医疗保险</t>
  </si>
  <si>
    <t>参保各险种人数-工伤保险</t>
  </si>
  <si>
    <t>参保各险种人数-生育保险</t>
  </si>
  <si>
    <t>单位缴费基数-单位参加城镇职工基本养老保险缴费基数（单位万元）</t>
  </si>
  <si>
    <t>单位缴费基数-单位参加失业保险缴费基数（单位万元）</t>
  </si>
  <si>
    <t>单位缴费基数-单位参加职工基本医疗保险缴费基数（单位万元）</t>
  </si>
  <si>
    <t>本期实际缴费金额-参加城镇职工基本养老保险本期实际缴费金额（单位万元）</t>
  </si>
  <si>
    <t>本期实际缴费金额-参加失业保险本期实际缴费金额（单位万元）</t>
  </si>
  <si>
    <t>本期实际缴费金额-参加工伤保险本期实际缴费金额（单位万元）</t>
  </si>
  <si>
    <t>本期实际缴费金额-参加生育保险本期实际缴费金额（单位万元）</t>
  </si>
  <si>
    <t>单位累计欠缴金额-单位参加城镇职工基本养老保险累计欠缴金额（单位万元）</t>
  </si>
  <si>
    <t>单位累计欠缴金额-单位参加失业保险累计欠缴金额（单位万元）</t>
  </si>
  <si>
    <t>单位累计欠缴金额-单位参加职工基本医疗保险累计欠缴金额（单位万元）</t>
  </si>
  <si>
    <t>单位累计欠缴金额-单位参加生育保险累计欠缴金额（单位万元）</t>
  </si>
  <si>
    <t>新增实际控制人信息按钮</t>
  </si>
  <si>
    <t>914403006803670400</t>
  </si>
  <si>
    <t>0755-21512288</t>
  </si>
  <si>
    <t>Sara.Mo@walmart.com</t>
  </si>
  <si>
    <t>食品、日用百货零售</t>
  </si>
  <si>
    <t>深圳市龙岗区黄阁南路1号星河时代购物公园B1S－001、B2S－001、L1S－037、L2S－033</t>
  </si>
  <si>
    <t>否</t>
  </si>
  <si>
    <t>开业</t>
  </si>
  <si>
    <t>315</t>
  </si>
  <si>
    <t>157</t>
  </si>
  <si>
    <t>外商控股</t>
  </si>
  <si>
    <t>沃尔玛（中国）投资有限公司</t>
  </si>
  <si>
    <t>货币</t>
  </si>
  <si>
    <t>2015年01月19日</t>
  </si>
  <si>
    <t>Walmart(Shenzhen)StoresCo.,Ltd</t>
  </si>
  <si>
    <t>B1S-001、B2S-001、L1S-037、L2S-0331FGalaxyTimesCocoPark，SouthofHuanggeRd，LonggangDistrict，Shenzhen，GuangdongProvince，China</t>
  </si>
  <si>
    <t>电子商务企业,电子商务交易平台</t>
  </si>
  <si>
    <t>4000021209200314562</t>
  </si>
  <si>
    <t>中国工商银行股份有限公司深圳红围支行</t>
  </si>
  <si>
    <t>非特殊区域</t>
  </si>
  <si>
    <t>经济特区</t>
  </si>
  <si>
    <t>林洁梅</t>
  </si>
  <si>
    <t>中华人民共和国居民身份证</t>
  </si>
  <si>
    <t>44283019711224282X</t>
  </si>
  <si>
    <t>0755-21514470</t>
  </si>
  <si>
    <t>Judy.8.Lin@walmart.com</t>
  </si>
  <si>
    <t>租赁</t>
  </si>
  <si>
    <t>是</t>
  </si>
  <si>
    <t>SAP</t>
  </si>
  <si>
    <t>自理记帐</t>
  </si>
  <si>
    <t>内部审计</t>
  </si>
  <si>
    <t>36609.86</t>
  </si>
  <si>
    <t>88411.38</t>
  </si>
  <si>
    <t>93191.08</t>
  </si>
  <si>
    <t>6312.53</t>
  </si>
  <si>
    <t>7604.25</t>
  </si>
  <si>
    <t>18835.34</t>
  </si>
  <si>
    <t>Walmart(Shenzhen)Stores Co.,Ltd</t>
  </si>
  <si>
    <t xml:space="preserve">一般经营项目是：。，许可经营项目是：预包装食品（含冷藏冷冻食品）、散装食品（含冷藏冷冻食品、含散装熟食）、特殊食品销售（保健食品销售、特殊医学用途配方食品销售、婴幼儿配方乳粉销售、其他婴幼儿配方食品销售）、热食类食品制售、冷食类食品制售、生食类食品制售、糕点类食品制售（含裱花类糕点）、饮料、纺织品、服装、日用品、化妆品、箱包、体育用品、体育器材、钟表、首饰（不含裸钻及金、银等贵金属原材料）、医疗器械（取得许可证或者备案方可经营）、电子产品、汽车和摩托车零配件及相关润滑油产品、家用电器、五金、家具、室内装修材料、打火机补充剂及配件、花卉、玩具、宠物用具、园艺用品、烧烤用品、农副产品的批发、零售（包括代销、寄售、仓储式会员制销售）、药品零售、出版物的零售（报纸期刊图书、音像制品、电子出版物）、票务代理、佣金代理（不含拍卖）、进出口及相关配套业务（不涉及国营贸易管理商品，涉及配额、许可证管理及其它专项规定管理的商品，按国家有关规定办理申请）；食品店内加工餐饮服务（小吃店（中式点心制售、西饼糕点制售（含凉拌菜分装、熟肉制品、裱花蛋糕、寿司，不含生食海产品及其他须特别申报的许可项目）））；验配眼镜；在商店内经营室内外儿童乐园、健身中心、洗染服务、理发及美容服务、摄影扩印服务（分支机构经营）；在商店内组织自营商品的促销活动及提供表演场地；商场设施的租赁；信息咨询（不含限制项目）。（以上涉及相关生产经营许可证管理项目，按国家有关规定办理申请，按许可内容生产经营）。 </t>
  </si>
  <si>
    <t>不涉及以上类型</t>
  </si>
  <si>
    <t>0</t>
  </si>
  <si>
    <t>69</t>
  </si>
  <si>
    <t>1915.14</t>
  </si>
  <si>
    <t>6.58</t>
  </si>
  <si>
    <t>2127.02</t>
  </si>
  <si>
    <t>103</t>
  </si>
  <si>
    <t>14017.98724</t>
  </si>
  <si>
    <t>6606.169216</t>
  </si>
  <si>
    <t>93191</t>
  </si>
  <si>
    <t>27024</t>
  </si>
  <si>
    <t>26849</t>
  </si>
  <si>
    <t>12293</t>
  </si>
  <si>
    <t>88411</t>
  </si>
  <si>
    <t>6362</t>
  </si>
  <si>
    <t>6043</t>
  </si>
  <si>
    <t>9802</t>
  </si>
  <si>
    <t>1622</t>
  </si>
  <si>
    <t>14018</t>
  </si>
  <si>
    <t>WAL-MART (CHINA) INVESTMENT CO., LTD</t>
  </si>
  <si>
    <t>美国</t>
  </si>
  <si>
    <t>企业法人营业执照(外资)</t>
  </si>
  <si>
    <t>914403007109368585</t>
  </si>
  <si>
    <t>沃尔玛（WAL-MART STORES）</t>
  </si>
  <si>
    <t>nbwstzzentname</t>
  </si>
  <si>
    <t>境内投资者</t>
  </si>
  <si>
    <t>境内投资者为外商投资企业或外商投资企业境内投资的企业(含多层次投资)/境内合伙人为外商投资企业或外商投资企业境内投资的企业(含多层次投资)</t>
  </si>
  <si>
    <t>WALMART INC.</t>
  </si>
  <si>
    <t>外国（地区）证照</t>
  </si>
  <si>
    <t>71-0415188</t>
  </si>
  <si>
    <t>境外上市公司</t>
  </si>
  <si>
    <t>单独或与关联投资者共同直接或间接持有企业50%以上股份、股权、财产份额、表决权或者其他类似权益</t>
  </si>
  <si>
    <t>Text</t>
  </si>
  <si>
    <t>Value</t>
  </si>
  <si>
    <t>select</t>
  </si>
  <si>
    <t>这个select type 可以用input，但是是要在TagName标记为"select"</t>
  </si>
  <si>
    <t>nbczxxacconcurrency</t>
  </si>
  <si>
    <t>6735.27</t>
  </si>
  <si>
    <t>测试点击取消按钮1，保存2</t>
  </si>
  <si>
    <t>测试点击取消按钮 2，保存3</t>
  </si>
  <si>
    <t>测试点击取消按钮 5，保存6</t>
  </si>
  <si>
    <t>打开网站并获取验证码</t>
  </si>
  <si>
    <t>输入验证码</t>
  </si>
  <si>
    <t>点击登录</t>
  </si>
  <si>
    <t>电子商务交易平台</t>
  </si>
  <si>
    <t>物流企业</t>
  </si>
  <si>
    <t>支付企业</t>
  </si>
  <si>
    <t>监管场所运营人</t>
  </si>
  <si>
    <t>非跨境贸易电子商务企业</t>
  </si>
  <si>
    <t>外部审计</t>
  </si>
  <si>
    <t>外商投资的投资性公司</t>
  </si>
  <si>
    <t>外商投资的创业投资公司</t>
  </si>
  <si>
    <t>外商投资的以投资为主要业务的合伙企业</t>
  </si>
  <si>
    <t>修改投资者（合伙人）信息</t>
  </si>
  <si>
    <t>E</t>
  </si>
  <si>
    <t>新增原有的股东及出资信息按钮</t>
  </si>
  <si>
    <t>投资者（合伙人）信息保存成功(第二次)保存按钮(Check)</t>
  </si>
  <si>
    <t>投资者（合伙人）信息(第二次)保存按钮(Check)</t>
  </si>
  <si>
    <t>实际控制人信息保存按钮(Check)</t>
  </si>
  <si>
    <t>投资者（合伙人）信息保存按钮成功(Check)</t>
  </si>
  <si>
    <t>投资者（合伙人）信息保存按钮(Check)</t>
  </si>
  <si>
    <t>填写股东及出资信息保存按钮(Check)</t>
  </si>
  <si>
    <t>删除原有的投资者（合伙人）信息确定按钮(Check)</t>
  </si>
  <si>
    <t>删除原有的投资者（合伙人）信息成功确定按钮(Check)</t>
  </si>
  <si>
    <t>机器人创建了新行作为测试，可以删除1 ，生产0</t>
  </si>
  <si>
    <t>实际控制人信息保存成功按钮(Check)</t>
  </si>
  <si>
    <t>classname</t>
  </si>
  <si>
    <t>modal-footer</t>
  </si>
  <si>
    <t>删除原有的股东及出资信息按钮</t>
  </si>
  <si>
    <t>删除原有的股东及出资信息确定按钮(Check)</t>
  </si>
  <si>
    <t>删除原有的股东及出资信息成功确定按钮(Check)</t>
  </si>
  <si>
    <t>填写股东及出资信息保存按钮成功(Check)</t>
  </si>
  <si>
    <t>是否发生股东股权转让</t>
  </si>
  <si>
    <t>是否有投资信息或购买其他公司股权</t>
  </si>
  <si>
    <t>input-01</t>
  </si>
  <si>
    <t>input-05</t>
  </si>
  <si>
    <t>input-04</t>
  </si>
  <si>
    <t>input-06</t>
  </si>
  <si>
    <t>input-41</t>
  </si>
  <si>
    <t>input-02</t>
  </si>
  <si>
    <t>input-44</t>
  </si>
  <si>
    <t>input-03</t>
  </si>
  <si>
    <t>rptAnnlBasic.hasWebsite</t>
  </si>
  <si>
    <t>rptAnnlEmployee.empNumSign</t>
  </si>
  <si>
    <t>rptAnnlBasic.hasFwarnnt</t>
  </si>
  <si>
    <t>rptAnnlEtps.ifStocktrans</t>
  </si>
  <si>
    <t>button5</t>
  </si>
  <si>
    <t>rptAnnlInvt.subConAm</t>
  </si>
  <si>
    <t>inv</t>
  </si>
  <si>
    <t>rptAnnlInvt.conDate</t>
  </si>
  <si>
    <t>rptAnnlInvt.conForm</t>
  </si>
  <si>
    <t>rptAnnlInvtactl.acConAm</t>
  </si>
  <si>
    <t>rptAnnlInvtactl.conDate</t>
  </si>
  <si>
    <t>rptAnnlInvtactl.conForm</t>
  </si>
  <si>
    <t>股东及出资情况表保存按钮</t>
  </si>
  <si>
    <t>button6</t>
  </si>
  <si>
    <t>股东及出资信息-添加按钮</t>
  </si>
  <si>
    <t>资产状况信息</t>
  </si>
  <si>
    <t xml:space="preserve">left_menu1 </t>
  </si>
  <si>
    <t>dt</t>
  </si>
  <si>
    <t>tagname</t>
  </si>
  <si>
    <t>LoopSelect</t>
  </si>
  <si>
    <t>资产状况信息-资产总额</t>
  </si>
  <si>
    <t>资产状况信息-所有者权益合计</t>
  </si>
  <si>
    <t>资产状况信息-营业总收入</t>
  </si>
  <si>
    <t>资产状况信息-其中主营业务收入</t>
  </si>
  <si>
    <t>资产状况信息-利润总额</t>
  </si>
  <si>
    <t>资产状况信息-净利润</t>
  </si>
  <si>
    <t>资产状况信息-纳税总额</t>
  </si>
  <si>
    <t>rptAnnlRun.assGro</t>
  </si>
  <si>
    <t>rptAnnlRun.totEqu</t>
  </si>
  <si>
    <t>rptAnnlRun.liaGro</t>
  </si>
  <si>
    <t>rptAnnlRun.vendInc</t>
  </si>
  <si>
    <t>rptAnnlRun.maiBusInc</t>
  </si>
  <si>
    <t>rptAnnlRun.proGro</t>
  </si>
  <si>
    <t>rptAnnlRun.netInc</t>
  </si>
  <si>
    <t>rptAnnlRun.ratGro</t>
  </si>
  <si>
    <t>rptAnnlRun.assGroSign</t>
  </si>
  <si>
    <t>rptAnnlRun.totEquSign</t>
  </si>
  <si>
    <t>rptAnnlRun.liaGroSign</t>
  </si>
  <si>
    <t>rptAnnlRun.vendIncSign</t>
  </si>
  <si>
    <t>rptAnnlRun.maiBusIncSign</t>
  </si>
  <si>
    <t>rptAnnlRun.proGroSign</t>
  </si>
  <si>
    <t>rptAnnlRun.netIncSign</t>
  </si>
  <si>
    <t>rptAnnlRun.ratGroSign</t>
  </si>
  <si>
    <t>社保信息</t>
  </si>
  <si>
    <t>rptAnnlSoc.socOldNum</t>
  </si>
  <si>
    <t>rptAnnlSoc.socMedicalMum</t>
  </si>
  <si>
    <t>rptAnnlSoc.socBirthNum</t>
  </si>
  <si>
    <t>rptAnnlSoc.socUnemploymentNum</t>
  </si>
  <si>
    <t>rptAnnlSoc.socInjuryNum</t>
  </si>
  <si>
    <t>rptAnnlSoc.socOldBaseNum</t>
  </si>
  <si>
    <t>rptAnnlSoc.socUnemploymentBaseNum</t>
  </si>
  <si>
    <t>rptAnnlSoc.socMedicalBaseNum</t>
  </si>
  <si>
    <t>rptAnnlSoc.socBirthBaseNum</t>
  </si>
  <si>
    <t>rptAnnlSoc.socOldPeriodAmount</t>
  </si>
  <si>
    <t>rptAnnlSoc.socUnemploymentPeriodAmount</t>
  </si>
  <si>
    <t>rptAnnlSoc.socMedicalPeriodAmount</t>
  </si>
  <si>
    <t>rptAnnlSoc.socInjuryPeriodAmount</t>
  </si>
  <si>
    <t>rptAnnlSoc.socBirthPeriodAmount</t>
  </si>
  <si>
    <t>rptAnnlSoc.socOldArrearsAmount</t>
  </si>
  <si>
    <t>rptAnnlSoc.socUnemploymentArrearsAmount</t>
  </si>
  <si>
    <t>rptAnnlSoc.socMedicalArrearsAmount</t>
  </si>
  <si>
    <t>rptAnnlSoc.socInjuryArrearsAmount</t>
  </si>
  <si>
    <t>rptAnnlSoc.socBirthArrearsAmount</t>
  </si>
  <si>
    <t>rptAnnlSoc.baseNumSign</t>
  </si>
  <si>
    <t>rptAnnlSoc.periodAmountSign</t>
  </si>
  <si>
    <t>rptAnnlSoc.arrearsAmountSign</t>
  </si>
  <si>
    <t>特种设备信息</t>
  </si>
  <si>
    <t>rptAnnlSpeEq.speEqUsage</t>
  </si>
  <si>
    <t>rptAnnlSpeEq.speEqValid</t>
  </si>
  <si>
    <t>特种设备信息保存按钮</t>
  </si>
  <si>
    <t>entAddress</t>
  </si>
  <si>
    <t>entZip</t>
  </si>
  <si>
    <t>entPhone</t>
  </si>
  <si>
    <t>entEmail</t>
  </si>
  <si>
    <t>mainBusiact</t>
  </si>
  <si>
    <t>empNumber</t>
  </si>
  <si>
    <t>womEmpNum</t>
  </si>
  <si>
    <t>womEmpNumWhether</t>
  </si>
  <si>
    <t>entState</t>
  </si>
  <si>
    <t>holdingsMsg</t>
  </si>
  <si>
    <t>holdingsMsgWhether</t>
  </si>
  <si>
    <t>isGuarantee</t>
  </si>
  <si>
    <t>isWebradio</t>
  </si>
  <si>
    <t>isTransferStockradio</t>
  </si>
  <si>
    <t>isInveInforadio</t>
  </si>
  <si>
    <t>addjyqkOne</t>
  </si>
  <si>
    <t>SPEEQUIPMENTUSAGE</t>
  </si>
  <si>
    <t>SPEEQUIPMENTVALID</t>
  </si>
  <si>
    <t>SpeEquipmentSaveNormal</t>
  </si>
  <si>
    <t>tabs</t>
  </si>
  <si>
    <t>企业基本信息</t>
  </si>
  <si>
    <t>li</t>
  </si>
  <si>
    <t>SwitchToAlert</t>
  </si>
  <si>
    <t>infoDivCzqk</t>
  </si>
  <si>
    <t>table-bottom</t>
  </si>
  <si>
    <t>userName</t>
  </si>
  <si>
    <t>capShould</t>
  </si>
  <si>
    <t>capShouldDate</t>
  </si>
  <si>
    <t>capShouldType_C</t>
  </si>
  <si>
    <t>capReal</t>
  </si>
  <si>
    <t>capDate</t>
  </si>
  <si>
    <t>capType_C</t>
  </si>
  <si>
    <t>assetsTotalAmount</t>
  </si>
  <si>
    <t>assetsIsShow2</t>
  </si>
  <si>
    <t>序号</t>
  </si>
  <si>
    <t>028-86892511</t>
  </si>
  <si>
    <t>a0su@walmart.com</t>
  </si>
  <si>
    <t>食品、日用百货超市</t>
  </si>
  <si>
    <t>成都市青羊区西玉龙街6号新世纪广场第32层整层</t>
  </si>
  <si>
    <t>610000</t>
  </si>
  <si>
    <t>Wal-mart(Sichuan)storesCo.,Ltd</t>
  </si>
  <si>
    <t xml:space="preserve">Wal-Mart(China)InvestmentCo.,Ltd.
</t>
  </si>
  <si>
    <t>营业执照(外资)</t>
  </si>
  <si>
    <t>沃尔玛</t>
  </si>
  <si>
    <t>WALMARTINC.</t>
  </si>
  <si>
    <t>其他</t>
  </si>
  <si>
    <t>债权、债务情况-本年外方股东贷款借款</t>
  </si>
  <si>
    <t>债权、债务情况-本年外方股东贷款还款</t>
  </si>
  <si>
    <t>债权、债务情况-对境外投资者的债务合计</t>
  </si>
  <si>
    <t>债权、债务情况-在境外投资者的存款合计</t>
  </si>
  <si>
    <t>债权、债务情况-对境外投资者的债权合计</t>
  </si>
  <si>
    <t>资产负债情况-资产总额-流动资产</t>
  </si>
  <si>
    <t>资产负债情况-资产总额-非流动资产</t>
  </si>
  <si>
    <t>资产负债情况-流动资产-其他应收款</t>
  </si>
  <si>
    <t>资产负债情况-非流动资产-长期股权投资</t>
  </si>
  <si>
    <t>资产负债情况-非流动资产-固定资产</t>
  </si>
  <si>
    <t>资产负债情况-非流动资产-无形资产</t>
  </si>
  <si>
    <t>资产负债情况-负债总额-流动负债</t>
  </si>
  <si>
    <t>资产负债情况-负债总额-非流动负债</t>
  </si>
  <si>
    <t>资产负债情况-流动负债-应付外方股利</t>
  </si>
  <si>
    <t>资产负债情况-流动负债-其他应付款</t>
  </si>
  <si>
    <t>资产负债情况-所有者权益合计-实收资本</t>
  </si>
  <si>
    <t>资产负债情况-所有者权益合计-资本公积</t>
  </si>
  <si>
    <t>资产负债情况-所有者权益合计-盈余公积</t>
  </si>
  <si>
    <t>资产负债情况-所有者权益合计-未分配利润</t>
  </si>
  <si>
    <t>资产负债情况-所有者权益合计-其他</t>
  </si>
  <si>
    <t>资产负债情况-所有者权益合计-归属于外方股东的权益</t>
  </si>
  <si>
    <t>资产负债情况-归属于外方股东的权益-实收资本</t>
  </si>
  <si>
    <t>资产负债情况-归属于外方股东的权益-资本公积</t>
  </si>
  <si>
    <t>资产负债情况-归属于外方股东的权益-盈余公积</t>
  </si>
  <si>
    <t>资产负债情况-归属于外方股东的权益-未分配利润</t>
  </si>
  <si>
    <t>资产负债情况-归属于外方股东的权益-其他</t>
  </si>
  <si>
    <t>LoopSelectBy</t>
  </si>
  <si>
    <t>LoopSelectisFixedvalue</t>
  </si>
  <si>
    <t>企业控股情况公示不公示</t>
  </si>
  <si>
    <t>从业人数公示不公示</t>
  </si>
  <si>
    <t>(其中女性从业人数)公示不公示</t>
  </si>
  <si>
    <t>资产状况信息-资产总额公示不公示</t>
  </si>
  <si>
    <t>资产状况信息-所有者权益合计公示不公示</t>
  </si>
  <si>
    <t>资产状况信息-负债总额 公示不公示</t>
  </si>
  <si>
    <t>资产状况信息-营业总收入公示不公示</t>
  </si>
  <si>
    <t>资产状况信息-其中主营业务收入公示不公示</t>
  </si>
  <si>
    <t>资产状况信息-利润总额公示不公示</t>
  </si>
  <si>
    <t>资产状况信息-净利润公示不公示</t>
  </si>
  <si>
    <t>资产状况信息-纳税总额公示不公示</t>
  </si>
  <si>
    <t>社保信息-单位缴费基数公示不公示</t>
  </si>
  <si>
    <t>社保信息-本期实际缴费金额公示不公示</t>
  </si>
  <si>
    <t>社保信息-单位累计欠缴金额公示不公示</t>
  </si>
  <si>
    <t>CheckSelectBy</t>
  </si>
  <si>
    <t>不公示</t>
  </si>
  <si>
    <t>2015-12-25</t>
  </si>
  <si>
    <t>2015-11-21</t>
  </si>
  <si>
    <t>资产状况信息保存按钮</t>
  </si>
  <si>
    <t>rptAnnlBasic.holdingsMsgSign</t>
  </si>
  <si>
    <t>rptAnnlBasic.womEmpNumSign</t>
  </si>
  <si>
    <t>企业控股情况公示不公示-公示</t>
  </si>
  <si>
    <t>从业人数公示不公示-公示</t>
  </si>
  <si>
    <t>(其中女性从业人数)公示不公示-公示</t>
  </si>
  <si>
    <t>资产状况信息-资产总额公示不公示-公示</t>
  </si>
  <si>
    <t>资产状况信息-所有者权益合计公示不公示-公示</t>
  </si>
  <si>
    <t>资产状况信息-负债总额 公示不公示-公示</t>
  </si>
  <si>
    <t>资产状况信息-营业总收入公示不公示-公示</t>
  </si>
  <si>
    <t>资产状况信息-其中主营业务收入公示不公示-公示</t>
  </si>
  <si>
    <t>资产状况信息-利润总额公示不公示-公示</t>
  </si>
  <si>
    <t>资产状况信息-净利润公示不公示-公示</t>
  </si>
  <si>
    <t>资产状况信息-纳税总额公示不公示-公示</t>
  </si>
  <si>
    <t>社保信息-单位缴费基数公示不公示-公示</t>
  </si>
  <si>
    <t>社保信息-本期实际缴费金额公示不公示-公示</t>
  </si>
  <si>
    <t>社保信息-单位累计欠缴金额公示不公示-公示</t>
  </si>
  <si>
    <t>企业控股情况公示不公示-不公示</t>
  </si>
  <si>
    <t>从业人数公示不公示-不公示</t>
  </si>
  <si>
    <t>(其中女性从业人数)公示不公示-不公示</t>
  </si>
  <si>
    <t>资产状况信息-资产总额公示不公示-不公示</t>
  </si>
  <si>
    <t>资产状况信息-所有者权益合计公示不公示-不公示</t>
  </si>
  <si>
    <t>资产状况信息-负债总额 公示不公示-不公示</t>
  </si>
  <si>
    <t>资产状况信息-营业总收入公示不公示-不公示</t>
  </si>
  <si>
    <t>资产状况信息-其中主营业务收入公示不公示-不公示</t>
  </si>
  <si>
    <t>资产状况信息-利润总额公示不公示-不公示</t>
  </si>
  <si>
    <t>资产状况信息-净利润公示不公示-不公示</t>
  </si>
  <si>
    <t>资产状况信息-纳税总额公示不公示-不公示</t>
  </si>
  <si>
    <t>社保信息-单位缴费基数公示不公示-不公示</t>
  </si>
  <si>
    <t>社保信息-本期实际缴费金额公示不公示-不公示</t>
  </si>
  <si>
    <t>社保信息-单位累计欠缴金额公示不公示-不公示</t>
  </si>
  <si>
    <t>value</t>
  </si>
  <si>
    <t>rptAnnlBasic.womEmpNum</t>
  </si>
  <si>
    <t>investorDivInfo</t>
  </si>
  <si>
    <t>企业基本信息保存成功确定</t>
  </si>
  <si>
    <t>股东及出资信息保存成功确定</t>
  </si>
  <si>
    <t>资产状况信息保存成功确定</t>
  </si>
  <si>
    <t>SwitchTo</t>
  </si>
  <si>
    <t>investorIframe</t>
  </si>
  <si>
    <t>股东及出资信息SwitchToDefault</t>
  </si>
  <si>
    <t>SwitchToDefault</t>
  </si>
  <si>
    <t>btnAllA</t>
  </si>
  <si>
    <t>社保信息保存按钮</t>
  </si>
  <si>
    <t>AfterSendKey</t>
  </si>
  <si>
    <t>tab</t>
  </si>
  <si>
    <t>股东及出资信息SwitchTo1</t>
  </si>
  <si>
    <t>股东及出资信息SwitchTo2</t>
  </si>
  <si>
    <t>股东及出资信息SwitchTo3</t>
  </si>
  <si>
    <t>社保信息SwitchToDefault</t>
  </si>
  <si>
    <t>社保信息保存成功确定</t>
  </si>
  <si>
    <t>特种设备信息保存成功确定</t>
  </si>
  <si>
    <t>是否有对外担保-否</t>
  </si>
  <si>
    <t>是否有网站或网店-否</t>
  </si>
  <si>
    <t>是否发生股东股权转让-否</t>
  </si>
  <si>
    <t>是否有投资信息或购买其他公司股权-否</t>
  </si>
  <si>
    <t>rptAnnlForeBasic.enEntName</t>
  </si>
  <si>
    <t>rptAnnlForeBasic.ifSpcManagement</t>
  </si>
  <si>
    <t>rptAnnlForeBasic.ifListAreas</t>
  </si>
  <si>
    <t>rptAnnlForeBasic.ifListEnt</t>
  </si>
  <si>
    <t>rptAnnlForeBasic.ifPubEnt</t>
  </si>
  <si>
    <t>rptAnnlForeBasic.ifFunInst</t>
  </si>
  <si>
    <t>rptAnnlForeBasic.ifRdcEnt</t>
  </si>
  <si>
    <t>rptAnnlForeBasic.foreignInvType</t>
  </si>
  <si>
    <t>rptAnnlForeBasic.foreEmNum</t>
  </si>
  <si>
    <t>外商投资基本情况-外籍职工</t>
  </si>
  <si>
    <t>外商投资基本情况-大专及以上学历</t>
  </si>
  <si>
    <t>外商投资基本情况-本年职工薪酬</t>
  </si>
  <si>
    <t>rptAnnlForeBasic.uniaboEmpNum</t>
  </si>
  <si>
    <t>rptAnnlForeBasic.curYearSalary</t>
  </si>
  <si>
    <t>rptAnnlForeBasic.outDepAuthNum</t>
  </si>
  <si>
    <t>rptAnnlForeBasic.demDepAuthNum</t>
  </si>
  <si>
    <t>投资者信息</t>
  </si>
  <si>
    <t>投资者信息-添加按钮</t>
  </si>
  <si>
    <t>annlInvestorId</t>
  </si>
  <si>
    <t>投资者信息-选择股东</t>
  </si>
  <si>
    <t>投资者信息-选择股东确定按钮</t>
  </si>
  <si>
    <t>rptAnnlForeInvestor.enInvestorName</t>
  </si>
  <si>
    <t>rptAnnlForeInvestor.country</t>
  </si>
  <si>
    <t>rptAnnlForeInvestor.cerType</t>
  </si>
  <si>
    <t>rptAnnlForeInvestor.capSoul</t>
  </si>
  <si>
    <t>rptAnnlForeInvestor.ifWorldentInv</t>
  </si>
  <si>
    <t>投资者信息-添加500强按钮</t>
  </si>
  <si>
    <t>isEntyDiv</t>
  </si>
  <si>
    <t>投资者信息-选择沃尔玛</t>
  </si>
  <si>
    <t>dialog-popup-annl-worldhent</t>
  </si>
  <si>
    <t>tableG7</t>
  </si>
  <si>
    <t>投资者信息-选择沃尔玛保存按钮</t>
  </si>
  <si>
    <t>rptAnnlForeInvestor.invNature</t>
  </si>
  <si>
    <t>投资者信息保存按钮</t>
  </si>
  <si>
    <t>dialog-popup-annl-cached_inv</t>
  </si>
  <si>
    <t>投资者信息-选择股东SwitchTo</t>
  </si>
  <si>
    <t>rptAnnlForeInvestor.cerNo</t>
  </si>
  <si>
    <t>投资者信息-选择沃尔玛SwitchTo</t>
  </si>
  <si>
    <t>投资者信息-投资者性质-境外投资者</t>
  </si>
  <si>
    <t>投资者信息-投资者性质-境内投资者</t>
  </si>
  <si>
    <t>投资者信息-选择沃尔玛-沃尔玛（WAL-MART STORES）</t>
  </si>
  <si>
    <t>914403007109368000</t>
  </si>
  <si>
    <t>controlDivInfo</t>
  </si>
  <si>
    <t>投资者信息-是否有世界500强企业参与投资-是</t>
  </si>
  <si>
    <t>投资者信息SwitchTo</t>
  </si>
  <si>
    <t>controlIframe</t>
  </si>
  <si>
    <t>worldHEntName</t>
  </si>
  <si>
    <t>外商投资基本情况-经营范围是否涉及国家规定实施的准入特别管理措施-否</t>
  </si>
  <si>
    <t>外商投资基本情况-符合条件的港澳投资者、服务提供者经营范围是否涉及内地与香港、澳门《CEPA服务贸易协议》《CEPA投资协议》负面清单内的领域-否</t>
  </si>
  <si>
    <t>外商投资基本情况-是否为上市公司-否</t>
  </si>
  <si>
    <t>外商投资基本情况-是否为研发中心-否</t>
  </si>
  <si>
    <t>外商投资基本情况-是否为功能性机构-否</t>
  </si>
  <si>
    <t>外商投资基本情况-是否非上市的公众公司-否</t>
  </si>
  <si>
    <t>外商投资基本情况-不涉及以上类型-不涉及以上类型</t>
  </si>
  <si>
    <t>投资者信息保存成功确定</t>
  </si>
  <si>
    <t>投资者信息SwitchToDefault</t>
  </si>
  <si>
    <t>rptAnnlForeOpInfo.opCost</t>
  </si>
  <si>
    <t>rptAnnlForeOpInfo.rdSpend</t>
  </si>
  <si>
    <t>rptAnnlForeOpInfo.opExp</t>
  </si>
  <si>
    <t>rptAnnlForeOpInfo.vat</t>
  </si>
  <si>
    <t>rptAnnlForeOpInfo.consumTax</t>
  </si>
  <si>
    <t>rptAnnlForeOpInfo.indIncomeTax</t>
  </si>
  <si>
    <t>rptAnnlForeOpInfo.busiTax</t>
  </si>
  <si>
    <t>rptAnnlForeOpInfo.entIncomeTax</t>
  </si>
  <si>
    <t>rptAnnlForeOpInfo.tariffs</t>
  </si>
  <si>
    <t>rptAnnlForeOpInfo.allotForProfi</t>
  </si>
  <si>
    <t>rptAnnlForeOpInfo.forNetProfit</t>
  </si>
  <si>
    <t>rptAnnlForeOpInfo.remitForProfi</t>
  </si>
  <si>
    <t>rptAnnlForeOpInfo.forProfToInv</t>
  </si>
  <si>
    <t>rptAnnlForeOpInfo.increRegCap</t>
  </si>
  <si>
    <t>rptAnnlForeOpInfo.transOthEnt</t>
  </si>
  <si>
    <t>外商投资经营情况保存成功确定</t>
  </si>
  <si>
    <t>债权、债务情况</t>
  </si>
  <si>
    <t>rptAnnlForeCredRight.forLoanFloat</t>
  </si>
  <si>
    <t>rptAnnlForeCredRight.forLoanRepay</t>
  </si>
  <si>
    <t>rptAnnlForeCredRight.liabTotal</t>
  </si>
  <si>
    <t>rptAnnlForeCredRight.depositAm</t>
  </si>
  <si>
    <t>rptAnnlForeCredRight.credRightTotal</t>
  </si>
  <si>
    <t>债权、债务情况保存按钮</t>
  </si>
  <si>
    <t>进口设备减免税情况</t>
  </si>
  <si>
    <t>rptAnnlForeImportEq.imEqDuty</t>
  </si>
  <si>
    <t>进口设备减免税情况保存按钮</t>
  </si>
  <si>
    <t>资产负债情况</t>
  </si>
  <si>
    <t>资产负债情况保存按钮</t>
  </si>
  <si>
    <t>rptAnnlForeLiab.curAssets</t>
  </si>
  <si>
    <t>rptAnnlForeLiab.nonCurAssets</t>
  </si>
  <si>
    <t>rptAnnlForeLiab.othPayables</t>
  </si>
  <si>
    <t>rptAnnlForeLiab.loEquInc</t>
  </si>
  <si>
    <t>rptAnnlForeLiab.netFixAssets</t>
  </si>
  <si>
    <t>rptAnnlForeLiab.intAss</t>
  </si>
  <si>
    <t>rptAnnlForeLiab.curLiab</t>
  </si>
  <si>
    <t>rptAnnlForeLiab.nonCurLiab</t>
  </si>
  <si>
    <t>rptAnnlForeLiab.forDiv</t>
  </si>
  <si>
    <t>rptAnnlForeLiab.liabOthPay</t>
  </si>
  <si>
    <t>rptAnnlForeLiab.recCap</t>
  </si>
  <si>
    <t>rptAnnlForeLiab.surpRes</t>
  </si>
  <si>
    <t>rptAnnlForeLiab.other</t>
  </si>
  <si>
    <t>rptAnnlForeLiab.capRe</t>
  </si>
  <si>
    <t>rptAnnlForeLiab.undisPro</t>
  </si>
  <si>
    <t>rptAnnlForeLiab.invsEq</t>
  </si>
  <si>
    <t>rptAnnlForeLiab.forRecCap</t>
  </si>
  <si>
    <t>rptAnnlForeLiab.forSurpRec</t>
  </si>
  <si>
    <t>rptAnnlForeLiab.forOther</t>
  </si>
  <si>
    <t>rptAnnlForeLiab.forCapRe</t>
  </si>
  <si>
    <t>rptAnnlForeLiab.forUndisPro</t>
  </si>
  <si>
    <t>逾期尚未支付合同情况</t>
  </si>
  <si>
    <t>逾期尚未支付合同情况-是否存在规定的逾期尚未支付中小企业款项的情形</t>
  </si>
  <si>
    <t>rptAnnlOdsmepayCon.ifOdsmePay</t>
  </si>
  <si>
    <t>进口设备减免税情况-是否享受国家规定的进口设备减免税-否</t>
  </si>
  <si>
    <t>逾期尚未支付合同情况-是否存在规定的逾期尚未支付中小企业款项的情形-否</t>
  </si>
  <si>
    <t>外商投资基本情况保存成功确定</t>
  </si>
  <si>
    <t>rptAnnlForeControlList[1].actConName</t>
  </si>
  <si>
    <t>rptAnnlForeControlList[1].enActConName</t>
  </si>
  <si>
    <t>rptAnnlForeControlList[1].country</t>
  </si>
  <si>
    <t>rptAnnlForeControlList[1].cerType</t>
  </si>
  <si>
    <t>rptAnnlForeControlList[1].cerNo</t>
  </si>
  <si>
    <t>rptAnnlForeControlList[1].actConType</t>
  </si>
  <si>
    <t>rptAnnlForeControlList[1].actConMode</t>
  </si>
  <si>
    <t>rptAnnlForeControlList[1].ifEntActUalCon</t>
  </si>
  <si>
    <t>外商投资基本情况SwitchToDefault</t>
  </si>
  <si>
    <t>投资者信息-选择股东SwitchToDefault</t>
  </si>
  <si>
    <t>投资者信息-投资者性质SwitchTo</t>
  </si>
  <si>
    <t>rptAnnlForeInvestor.invType</t>
  </si>
  <si>
    <t>不存在前述情况</t>
  </si>
  <si>
    <t>投资者信息-投资者类型-不存在前述情况</t>
  </si>
  <si>
    <t>D</t>
  </si>
  <si>
    <t>债权、债务情况保存成功确定</t>
  </si>
  <si>
    <t>资产负债情况保存成功确定</t>
  </si>
  <si>
    <t>进口设备减免税情况保存成功确定</t>
  </si>
  <si>
    <t>逾期尚未支付合同情况保存按钮</t>
  </si>
  <si>
    <t>逾期尚未支付合同情况保存成功确定</t>
  </si>
  <si>
    <t>投资者信息-实际控制人（自然人）</t>
  </si>
  <si>
    <t>natureTr</t>
  </si>
  <si>
    <t>删除</t>
  </si>
  <si>
    <t>投资者信息-实际控制人（自然人）-删除</t>
  </si>
  <si>
    <t>湖南 福建 四川 河北 云南</t>
  </si>
  <si>
    <t>empnumberisshow2</t>
  </si>
  <si>
    <t>ENENTNAME</t>
  </si>
  <si>
    <t>SPECMANAGEMENT</t>
  </si>
  <si>
    <t>LISTENT</t>
  </si>
  <si>
    <t>PUBLICCOMPANY</t>
  </si>
  <si>
    <t>FUNINSTITUTIONS</t>
  </si>
  <si>
    <t>RDCENT</t>
  </si>
  <si>
    <t>FOREIGNINVTYPE</t>
  </si>
  <si>
    <t>FOREEMNUM</t>
  </si>
  <si>
    <t>UNIABOEMPNUM</t>
  </si>
  <si>
    <t>CURYEARSALARY</t>
  </si>
  <si>
    <t>DEMDEPAUTHNUM</t>
  </si>
  <si>
    <t>OUTDEPAUTHNUM</t>
  </si>
  <si>
    <t>CERTYPE</t>
  </si>
  <si>
    <t>CERNO</t>
  </si>
  <si>
    <t>COUNTRY</t>
  </si>
  <si>
    <t>WORLDENTINV</t>
  </si>
  <si>
    <t>INVNATURE</t>
  </si>
  <si>
    <t>ACTCONNAME2</t>
  </si>
  <si>
    <t>ENACTCONNAME2</t>
  </si>
  <si>
    <t>COUNTRY2</t>
  </si>
  <si>
    <t>CERTYPE2</t>
  </si>
  <si>
    <t>CERNO2</t>
  </si>
  <si>
    <t>ACTCONTYPE2</t>
  </si>
  <si>
    <t>ACTCONMODE2</t>
  </si>
  <si>
    <t>ENTACTUALCON2</t>
  </si>
  <si>
    <t>OPCOST</t>
  </si>
  <si>
    <t>RDSPENDING</t>
  </si>
  <si>
    <t>OPEXP</t>
  </si>
  <si>
    <t>VAT</t>
  </si>
  <si>
    <t>CONSUMTAX</t>
  </si>
  <si>
    <t>INDINCOMETAX</t>
  </si>
  <si>
    <t>BUSITAX</t>
  </si>
  <si>
    <t>ENTINCOMETAX</t>
  </si>
  <si>
    <t>TARIFFS</t>
  </si>
  <si>
    <t>ALLOTFORPROFITS</t>
  </si>
  <si>
    <t>FORNETPROFIT</t>
  </si>
  <si>
    <t>FORPROFTOINV</t>
  </si>
  <si>
    <t>REMITFORPROFITS</t>
  </si>
  <si>
    <t>INCREASEREGCAP</t>
  </si>
  <si>
    <t>TRANSOTHENT</t>
  </si>
  <si>
    <t>FORLOANFLOATATION</t>
  </si>
  <si>
    <t>FORLOANREPAYMENT</t>
  </si>
  <si>
    <t>LIABILITIESTOTAL</t>
  </si>
  <si>
    <t>DEPOSITAM</t>
  </si>
  <si>
    <t>CREDRIGHTTOTAL</t>
  </si>
  <si>
    <t>CURRENTASSETS</t>
  </si>
  <si>
    <t>NONCURRENTASSETS</t>
  </si>
  <si>
    <t>OTHERPAYABLES</t>
  </si>
  <si>
    <t>LOEQUINV</t>
  </si>
  <si>
    <t>NETFIXASSETS</t>
  </si>
  <si>
    <t>INTASS</t>
  </si>
  <si>
    <t>CURRENTLIABILITIES</t>
  </si>
  <si>
    <t>NONCURRENTLIABILITIES</t>
  </si>
  <si>
    <t>FORDIVIDEND</t>
  </si>
  <si>
    <t>OTHPAYABLES</t>
  </si>
  <si>
    <t>RECCAP</t>
  </si>
  <si>
    <t>SURPRES</t>
  </si>
  <si>
    <t>OTHER</t>
  </si>
  <si>
    <t>CAPRE</t>
  </si>
  <si>
    <t>UNDISPROFIT</t>
  </si>
  <si>
    <t>FORRECCAP</t>
  </si>
  <si>
    <t>FORSURPRES</t>
  </si>
  <si>
    <t>FOROTHER</t>
  </si>
  <si>
    <t>FORCAPRE</t>
  </si>
  <si>
    <t>FORUNDISPROFIT</t>
  </si>
  <si>
    <t>广州 东莞</t>
  </si>
  <si>
    <t>贵州</t>
  </si>
  <si>
    <t>广西</t>
  </si>
  <si>
    <t>江苏</t>
  </si>
  <si>
    <t>湖北</t>
  </si>
  <si>
    <t>addr</t>
  </si>
  <si>
    <t>ADDR</t>
  </si>
  <si>
    <t>foreignOther</t>
  </si>
  <si>
    <t>辽宁</t>
  </si>
  <si>
    <t>天津</t>
  </si>
  <si>
    <t>txt_addr</t>
  </si>
  <si>
    <t>江西</t>
  </si>
  <si>
    <t>企业基本信息保存按钮</t>
  </si>
  <si>
    <t>企业基本信息保存成功按钮</t>
  </si>
  <si>
    <t>特种设备信息保存成功按钮</t>
  </si>
  <si>
    <t>企业基本信息SwitchToAlert</t>
  </si>
  <si>
    <t>特种设备信息SwitchToAlert</t>
  </si>
  <si>
    <t>股东及出资信息SwitchToAlert</t>
  </si>
  <si>
    <t>iframeCzqk</t>
  </si>
  <si>
    <t>equityAmount</t>
  </si>
  <si>
    <t>zczkcomeOne</t>
  </si>
  <si>
    <t>投资者信息-补充</t>
  </si>
  <si>
    <t>infoDiv</t>
  </si>
  <si>
    <t>editIframe</t>
  </si>
  <si>
    <t>liabilitiesAmount</t>
  </si>
  <si>
    <t>liabilitiesIsShow2</t>
  </si>
  <si>
    <t>equityIsShow2</t>
  </si>
  <si>
    <t>salesAmount</t>
  </si>
  <si>
    <t>salesIsShow2</t>
  </si>
  <si>
    <t>businessAmount</t>
  </si>
  <si>
    <t>businessIsShow2</t>
  </si>
  <si>
    <t>profitsAmount</t>
  </si>
  <si>
    <t>profitsIsShow2</t>
  </si>
  <si>
    <t>netProfitAmount</t>
  </si>
  <si>
    <t>netProfitIsShow2</t>
  </si>
  <si>
    <t>taxAmount</t>
  </si>
  <si>
    <t>taxIsShow2</t>
  </si>
  <si>
    <t>资产状况信息保存成功按钮</t>
  </si>
  <si>
    <t>townNum</t>
  </si>
  <si>
    <t>medicalNum</t>
  </si>
  <si>
    <t>birthNum</t>
  </si>
  <si>
    <t>unemploymentNum1</t>
  </si>
  <si>
    <t>injuryNum</t>
  </si>
  <si>
    <t>TOTALWAGES_SO110</t>
  </si>
  <si>
    <t>TOTALWAGES_SO210</t>
  </si>
  <si>
    <t>TOTALWAGES_SO310</t>
  </si>
  <si>
    <t>TOTALWAGES_SO510</t>
  </si>
  <si>
    <t>TOTALPAYMENT_SO110</t>
  </si>
  <si>
    <t>TOTALPAYMENT_SO210</t>
  </si>
  <si>
    <t>TOTALPAYMENT_SO310</t>
  </si>
  <si>
    <t>TOTALPAYMENT_SO410</t>
  </si>
  <si>
    <t>TOTALPAYMENT_SO510</t>
  </si>
  <si>
    <t>UNPAIDSOCIALINS_SO110</t>
  </si>
  <si>
    <t>UNPAIDSOCIALINS_SO210</t>
  </si>
  <si>
    <t>UNPAIDSOCIALINS_SO310</t>
  </si>
  <si>
    <t>UNPAIDSOCIALINS_SO410</t>
  </si>
  <si>
    <t>UNPAIDSOCIALINS_SO510</t>
  </si>
  <si>
    <t>totalWagesWhether</t>
  </si>
  <si>
    <t>totalPaymentWhether</t>
  </si>
  <si>
    <t>unpaidSocialinsWhether</t>
  </si>
  <si>
    <t>社保信息保存成功按钮</t>
  </si>
  <si>
    <t>socialNormal</t>
  </si>
  <si>
    <t>深圳</t>
  </si>
  <si>
    <t>total</t>
  </si>
  <si>
    <t>自动化占比</t>
  </si>
  <si>
    <t>网站相似城市</t>
  </si>
  <si>
    <t>法人</t>
  </si>
  <si>
    <t>分支</t>
  </si>
  <si>
    <t>数量/total 371个</t>
  </si>
  <si>
    <t>数量/total 102个</t>
  </si>
  <si>
    <t>ENINVESTOR</t>
  </si>
  <si>
    <t>CAPSOUL</t>
  </si>
  <si>
    <t>one</t>
  </si>
  <si>
    <t>ENTNAME1</t>
  </si>
  <si>
    <t>INVTYPE</t>
  </si>
  <si>
    <t>savePersonID</t>
  </si>
  <si>
    <t>IMEQDUTY</t>
  </si>
  <si>
    <t>option</t>
  </si>
  <si>
    <t>IsValueFromData</t>
  </si>
  <si>
    <t>湖南 福建 四川 河北 云南 广州 东莞 深圳</t>
  </si>
  <si>
    <t>资产状况信息-负债总额</t>
  </si>
  <si>
    <r>
      <t>单位缴费基数-单位参加生育保险缴费基数</t>
    </r>
    <r>
      <rPr>
        <b/>
        <sz val="11"/>
        <color theme="1"/>
        <rFont val="Calibri"/>
        <family val="2"/>
        <scheme val="minor"/>
      </rPr>
      <t>（单位万元）</t>
    </r>
  </si>
  <si>
    <r>
      <t>本期实际缴费金额-参加职工基本医疗保险本期实际缴费金额</t>
    </r>
    <r>
      <rPr>
        <b/>
        <sz val="11"/>
        <color theme="1"/>
        <rFont val="Calibri"/>
        <family val="2"/>
        <scheme val="minor"/>
      </rPr>
      <t>（单位万元）</t>
    </r>
  </si>
  <si>
    <r>
      <t>单位累计欠缴金额-单位参加工伤保险累计欠缴金额</t>
    </r>
    <r>
      <rPr>
        <b/>
        <sz val="11"/>
        <color theme="1"/>
        <rFont val="Calibri"/>
        <family val="2"/>
        <scheme val="minor"/>
      </rPr>
      <t>（单位万元）</t>
    </r>
  </si>
  <si>
    <t>单位缴费基数公示不公示</t>
  </si>
  <si>
    <t>本期实际缴费金额公示不公示</t>
  </si>
  <si>
    <t>资产状况信息-营业总收入-其中主营业务收入</t>
  </si>
  <si>
    <t>rptAnnlEtps.ifInvest</t>
  </si>
  <si>
    <t>投资者信息-证件类型</t>
  </si>
  <si>
    <t>投资者信息-证件号码</t>
  </si>
  <si>
    <t>投资者信息-反向投资股权投资额</t>
  </si>
  <si>
    <t>投资者信息-反向投资股权比例</t>
  </si>
  <si>
    <t>投资者信息-境外投资者是否为内地与香港、澳门《CEPA服务贸易协议》规定的香港/澳门服务提供者</t>
  </si>
  <si>
    <t>投资者信息-境外投资者是否为内地与香港、澳门《CEPA投资协议》规定的香港/澳门投资者</t>
  </si>
  <si>
    <t>投资者信息-境外投资者是否是华侨</t>
  </si>
  <si>
    <t>rptAnnlForeInvestor.ifMcSerPro</t>
  </si>
  <si>
    <t>rptAnnlForeInvestor.ifMcInvestor</t>
  </si>
  <si>
    <t>rptAnnlForeInvestor.ifInvOverseaChinese</t>
  </si>
  <si>
    <t>rptAnnlForeInvestor.contEquAm</t>
  </si>
  <si>
    <t>rptAnnlForeInvestor.contEqurRatio</t>
  </si>
  <si>
    <t>投资者信息-国别(或地区）</t>
  </si>
  <si>
    <t>投资者信息-是否有世界500强企业参与投资-否</t>
  </si>
  <si>
    <t>实际控制人(非自然人)-姓名(中文)</t>
  </si>
  <si>
    <t>实际控制人(非自然人)-姓名(英文)</t>
  </si>
  <si>
    <t>实际控制人(非自然人)-国别(或地区)/注册地</t>
  </si>
  <si>
    <t>实际控制人(非自然人)-证件类型</t>
  </si>
  <si>
    <t>实际控制人(非自然人)-证件号码</t>
  </si>
  <si>
    <t>实际控制人(非自然人)-类别</t>
  </si>
  <si>
    <t>实际控制人(非自然人)-实际控制方式</t>
  </si>
  <si>
    <t>实际控制人(非自然人)-是否为企业最终实际控制人</t>
  </si>
  <si>
    <t>投资者信息-投资者类型-境内设立的外商投资的投资性公司</t>
  </si>
  <si>
    <t>投资者信息-境外投资者是否为内地与香港、澳门《CEPA服务贸易协议》规定的香港/澳门服务提供者-否</t>
  </si>
  <si>
    <t>投资者信息-境外投资者是否为内地与香港、澳门《CEPA投资协议》规定的香港/澳门投资者-否</t>
  </si>
  <si>
    <t>投资者信息-境外投资者是否是华侨-否</t>
  </si>
  <si>
    <t>特别管理措施-符合条件的港澳投资者、服务提供者经营范围是否涉及内地与香港、澳门《CEPA服务贸易协议》《CEPA投资协议》负面清单内的领域-否</t>
  </si>
  <si>
    <t>经营范围是否涉及国家规定实施的准入特别管理措施-否</t>
  </si>
  <si>
    <t>CONTEQUAM</t>
  </si>
  <si>
    <t>CONTEQURRATIO</t>
  </si>
  <si>
    <t>MCSERPROVIDER</t>
  </si>
  <si>
    <t>MCINVESTOR</t>
  </si>
  <si>
    <t>INVOVERSEACHINESE</t>
  </si>
  <si>
    <t>隶属企业名称</t>
  </si>
  <si>
    <t>rptAnnlBasic.owner</t>
  </si>
  <si>
    <t>隶属企业统一社会信用代码/注册号</t>
  </si>
  <si>
    <t>rptAnnlBasic.ownerUniScid</t>
  </si>
  <si>
    <t>生产经营情况</t>
  </si>
  <si>
    <t>生产经营情况-主营业务收入公示不公示</t>
  </si>
  <si>
    <t>生产经营情况-纳税总额公示不公示</t>
  </si>
  <si>
    <t>生产经营情况-净利润公示不公示</t>
  </si>
  <si>
    <t>生产经营情况保存按钮</t>
  </si>
  <si>
    <t>生产经营情况保存成功确定</t>
  </si>
  <si>
    <t>生产经营情况-主营业务收入公示不公示-不公示</t>
  </si>
  <si>
    <t>生产经营情况-纳税总额公示不公示-不公示</t>
  </si>
  <si>
    <t>生产经营情况-净利润公示不公示-不公示</t>
  </si>
  <si>
    <t>left_menu1</t>
  </si>
  <si>
    <t>relations</t>
  </si>
  <si>
    <t>belongEnterprise</t>
  </si>
  <si>
    <t>广州市宏丽有限公司</t>
  </si>
  <si>
    <t>91440101725007402L</t>
  </si>
  <si>
    <t>ul-li</t>
  </si>
  <si>
    <t>addjyqkThree</t>
  </si>
  <si>
    <t>生产经营情况信息</t>
  </si>
  <si>
    <t>生产经营情况信息SwitchToAlert</t>
  </si>
  <si>
    <t>生产经营情况信息-主营业务收入</t>
  </si>
  <si>
    <t>生产经营情况信息-纳税总额</t>
  </si>
  <si>
    <t>生产经营情况信息-净利润</t>
  </si>
  <si>
    <t>生产经营情况信息-纳税总额公示不公示</t>
  </si>
  <si>
    <t>生产经营情况信息-净利润公示不公示</t>
  </si>
  <si>
    <t>netProfitIsShow</t>
  </si>
  <si>
    <t>taxIsShow</t>
  </si>
  <si>
    <t>businessIsShow</t>
  </si>
  <si>
    <t>生产经营情况信息保存按钮</t>
  </si>
  <si>
    <t>生产经营情况信息保存成功按钮</t>
  </si>
  <si>
    <t>zczkcomeThree</t>
  </si>
  <si>
    <t>生产经营情况信息-纳税总额公示不公示-不公示</t>
  </si>
  <si>
    <t>生产经营情况信息-净利润公示不公示-不公示</t>
  </si>
  <si>
    <t>生产经营情况信息-主营业务收入公示不公示</t>
  </si>
  <si>
    <t>生产经营情况信息-主营业务收入公示不公示-不公示</t>
  </si>
  <si>
    <t>外商投资经营情况-经营情况-净利润-外方股东利润转投资</t>
  </si>
  <si>
    <t>外商投资经营情况-经营情况-净利润-外方股东利润转投资-转增本企业(机构)注册资本</t>
  </si>
  <si>
    <t>外商投资经营情况-经营情况-净利润-外方股东利润转投资-转投其他企业(机构)注册资本</t>
  </si>
  <si>
    <t>地区</t>
  </si>
  <si>
    <t>类型</t>
  </si>
  <si>
    <t>配置表</t>
  </si>
  <si>
    <t>参数表</t>
  </si>
  <si>
    <t>四川</t>
  </si>
  <si>
    <t>法人_配置表1</t>
  </si>
  <si>
    <t>法人_参数表1</t>
  </si>
  <si>
    <t>法人_配置表2</t>
  </si>
  <si>
    <t>法人_参数表2</t>
  </si>
  <si>
    <t>法人_配置表3</t>
  </si>
  <si>
    <t>法人_参数表3</t>
  </si>
  <si>
    <t>湖南</t>
  </si>
  <si>
    <t>河北</t>
  </si>
  <si>
    <t>福建</t>
  </si>
  <si>
    <t>云南</t>
  </si>
  <si>
    <t>广州</t>
  </si>
  <si>
    <t>东莞</t>
  </si>
  <si>
    <t>分支_配置表1</t>
  </si>
  <si>
    <t>分支_配置表2</t>
  </si>
  <si>
    <t>分支_参数表1</t>
  </si>
  <si>
    <t>股东出资情况表-股东</t>
  </si>
  <si>
    <t>股东出资情况表-认缴出资额</t>
  </si>
  <si>
    <t>股东出资情况表-认缴出资时间</t>
  </si>
  <si>
    <t>股东出资情况表-实缴出资方式</t>
  </si>
  <si>
    <t>股东出资情况表-认缴出资方式</t>
  </si>
  <si>
    <t>股东出资情况表-实缴出资额</t>
  </si>
  <si>
    <t>股东出资情况表-实缴出资时间</t>
  </si>
  <si>
    <t>企业资产状况信息-营业总收入</t>
  </si>
  <si>
    <t>企业资产状况信息-净利润</t>
  </si>
  <si>
    <t>企业资产状况信息-利润总额</t>
  </si>
  <si>
    <t>企业资产状况信息-资产总额</t>
  </si>
  <si>
    <t>企业资产状况信息-所有者权益合计</t>
  </si>
  <si>
    <t>企业资产状况信息-负债总额</t>
  </si>
  <si>
    <t>股东出资情况表-认缴出资方式-货币</t>
  </si>
  <si>
    <t>股东出资情况表-实缴出资方式-货币</t>
  </si>
  <si>
    <t>投资者信息-姓名/名称(中文)</t>
  </si>
  <si>
    <t>rptAnnlForeInvestor.investorName</t>
  </si>
  <si>
    <t>投资者信息-投资者类型-境外投资者（不属于以下投资类企业）</t>
  </si>
  <si>
    <t>英属维尔京群岛</t>
  </si>
  <si>
    <t>092</t>
  </si>
  <si>
    <t>股东出资情况表-认缴出资币种</t>
  </si>
  <si>
    <t>股东出资情况表-实缴出资币种</t>
  </si>
  <si>
    <t>报关信息-英文名称</t>
  </si>
  <si>
    <t>报关信息-英文地址</t>
  </si>
  <si>
    <t>报关信息-跨境贸易电子商务企业类型或非跨境贸易电子商务企业</t>
  </si>
  <si>
    <t>报关信息-开户银行</t>
  </si>
  <si>
    <t>报关信息-开户账号</t>
  </si>
  <si>
    <t>报关信息-特殊贸易区域</t>
  </si>
  <si>
    <t>报关信息-经济区划</t>
  </si>
  <si>
    <t>报关信息-关务负责人-姓名</t>
  </si>
  <si>
    <t>报关信息-关务负责人-身份证件类型</t>
  </si>
  <si>
    <t>报关信息-关务负责人-身份证件号码</t>
  </si>
  <si>
    <t>报关信息-关务负责人-固定电话</t>
  </si>
  <si>
    <t>报关信息-关务负责人-移动电话</t>
  </si>
  <si>
    <t>报关信息-关务负责人-电子邮箱</t>
  </si>
  <si>
    <t>报关信息-海关业务联系人-姓名</t>
  </si>
  <si>
    <t>报关信息-海关业务联系人-传真</t>
  </si>
  <si>
    <t>报关信息-经营场所性质</t>
  </si>
  <si>
    <t>报关信息-是否实行会计电算化</t>
  </si>
  <si>
    <t>报关信息-是否上市公司</t>
  </si>
  <si>
    <t>报关信息-记账方式</t>
  </si>
  <si>
    <t>报关信息-最近三年是否连续亏损</t>
  </si>
  <si>
    <t>经营补充信息（币种人民币）-存货</t>
  </si>
  <si>
    <t>经营补充信息（币种人民币）-流动负债</t>
  </si>
  <si>
    <t>经营补充信息（币种人民币）-流动资产</t>
  </si>
  <si>
    <t>经营补充信息（币种人民币）-经营现金净流量</t>
  </si>
  <si>
    <t>经营补充信息（币种人民币）-营业利润</t>
  </si>
  <si>
    <t>经营补充信息（币种人民币）-年初所有者权益</t>
  </si>
  <si>
    <t>报关信息-年度内是否开展内外部审计</t>
  </si>
  <si>
    <t>报关信息-在内外部审计等企业自律管理中是否发现一般贸易业务、加工贸易及保税业务、减免税业务或其他进出口业务存在违反海关管理规定的问题。</t>
  </si>
  <si>
    <t>报关信息-具体问题</t>
  </si>
  <si>
    <t>外商投资基本情况-经营范围</t>
  </si>
  <si>
    <t>特别管理措施</t>
  </si>
  <si>
    <t>外商投资基本情况-是否内设独立研发部门</t>
  </si>
  <si>
    <t>外商投资基本情况-是否设立分公司研发中心</t>
  </si>
  <si>
    <t>外商投资基本情况-外商投资性公司类型</t>
  </si>
  <si>
    <t>外商投资基本情况-大学及以上学历</t>
  </si>
  <si>
    <t>实际控制人(自然人)-姓名(中文)</t>
  </si>
  <si>
    <t>实际控制人(自然人)-姓名(英文)</t>
  </si>
  <si>
    <t>实际控制人(自然人)-国别(或地区)/注册地</t>
  </si>
  <si>
    <t>实际控制人(自然人)-证件类型</t>
  </si>
  <si>
    <t>实际控制人(自然人)-证件号码</t>
  </si>
  <si>
    <t>实际控制人(自然人)-类别</t>
  </si>
  <si>
    <t>实际控制人(自然人)-实际控制方式</t>
  </si>
  <si>
    <t>实际控制人(自然人)-是否为企业最终实际控制人</t>
  </si>
  <si>
    <t>ZZ22</t>
  </si>
  <si>
    <t>投资者信息-投资者类型-境内投资者为外商投资企业或外商投资企业境内投资的企业(含多层次投资)/境内合伙人为外商投资企业或外商投资企业境内投资的企业(含多层次投资)</t>
  </si>
  <si>
    <t>报关信息-跨境贸易电子商务企业类型或非跨境贸易电子商务企业-电子商务企业</t>
  </si>
  <si>
    <t>报关信息-跨境贸易电子商务企业类型或非跨境贸易电子商务企业-电子商务交易平台</t>
  </si>
  <si>
    <t>报关信息-年度内是否开展内外部审计-内部审计</t>
  </si>
  <si>
    <t>外商投资基本情况-外商投资性公司类型-不涉及以上类型</t>
  </si>
  <si>
    <t>年度报告公示-资产负债情况</t>
  </si>
  <si>
    <t>modal-content</t>
  </si>
  <si>
    <t>close</t>
  </si>
  <si>
    <t>2012-12-01</t>
  </si>
  <si>
    <t>720</t>
  </si>
  <si>
    <t>报关信息-海关业务联系人-固定电话</t>
  </si>
  <si>
    <t>报关信息-海关业务联系人-移动电话</t>
  </si>
  <si>
    <t>报关信息-海关业务联系人-电子邮箱</t>
  </si>
  <si>
    <t>报关信息-财务管理软件名称</t>
  </si>
  <si>
    <t>企业资产状况信息</t>
  </si>
  <si>
    <t>nbassgro</t>
  </si>
  <si>
    <t>企业资产状况信息-营业总收入-其中主营业务收入</t>
  </si>
  <si>
    <t>企业资产状况信息-纳税总额（元）</t>
  </si>
  <si>
    <t>nbtotequ</t>
  </si>
  <si>
    <t>nbvendinc</t>
  </si>
  <si>
    <t>nbmaibusinc</t>
  </si>
  <si>
    <t>nbprogro</t>
  </si>
  <si>
    <t>nbliagro</t>
  </si>
  <si>
    <t>nbnetinc</t>
  </si>
  <si>
    <t>nbratgro</t>
  </si>
  <si>
    <t>企业资产状况信息保存按钮</t>
  </si>
  <si>
    <t>zczk</t>
  </si>
  <si>
    <t>年度报告公示-外商投资经营情况</t>
  </si>
  <si>
    <t>外商投资基本情况-保存按钮</t>
  </si>
  <si>
    <t>formqynbwsjb</t>
  </si>
  <si>
    <t>分支机构</t>
  </si>
  <si>
    <t>企业电子邮箱</t>
  </si>
  <si>
    <t>生产经营情况信息-主营业务收入（万元）</t>
  </si>
  <si>
    <t>生产经营情况信息-净利润（万元）</t>
  </si>
  <si>
    <t>生产经营情况信息-纳税总额(万元)</t>
  </si>
  <si>
    <t>检验有效期内特种设备总台数</t>
  </si>
  <si>
    <t>办理使用登记特种设备总台数</t>
  </si>
  <si>
    <t>INVSEQUITY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</si>
</sst>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\ AM/PM"/>
  </numFmts>
  <fonts count="11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9"/>
      <color rgb="FF222222"/>
      <name val="Consolas"/>
      <family val="3"/>
    </font>
    <font>
      <sz val="11"/>
      <color rgb="FFFF0000"/>
      <name val="Calibri"/>
      <family val="2"/>
      <charset val="134"/>
      <scheme val="minor"/>
    </font>
    <font>
      <sz val="11"/>
      <color rgb="FF333333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333333"/>
      <name val="Microsoft YaHei"/>
    </font>
    <font>
      <sz val="11"/>
      <color theme="1"/>
      <name val="Calibri"/>
      <family val="2"/>
      <charset val="134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Microsoft YaHei  Regula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8" fillId="0" borderId="0" applyFont="0" applyFill="0" applyBorder="0" applyAlignment="0" applyProtection="0"/>
  </cellStyleXfs>
  <cellXfs count="48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2" borderId="0" xfId="0" applyFont="1" applyFill="1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  <xf numFmtId="0" fontId="2" fillId="0" borderId="0" xfId="0" applyFont="1" applyFill="1">
      <alignment vertical="center"/>
    </xf>
    <xf numFmtId="0" fontId="4" fillId="3" borderId="0" xfId="0" applyFont="1" applyFill="1">
      <alignment vertical="center"/>
    </xf>
    <xf numFmtId="0" fontId="2" fillId="3" borderId="0" xfId="0" applyFont="1" applyFill="1">
      <alignment vertical="center"/>
    </xf>
    <xf numFmtId="0" fontId="0" fillId="3" borderId="0" xfId="0" applyFill="1">
      <alignment vertical="center"/>
    </xf>
    <xf numFmtId="49" fontId="0" fillId="4" borderId="0" xfId="0" applyNumberFormat="1" applyFill="1">
      <alignment vertical="center"/>
    </xf>
    <xf numFmtId="49" fontId="2" fillId="4" borderId="0" xfId="0" applyNumberFormat="1" applyFont="1" applyFill="1">
      <alignment vertical="center"/>
    </xf>
    <xf numFmtId="0" fontId="4" fillId="4" borderId="0" xfId="0" applyFont="1" applyFill="1">
      <alignment vertical="center"/>
    </xf>
    <xf numFmtId="164" fontId="0" fillId="4" borderId="0" xfId="0" applyNumberFormat="1" applyFill="1">
      <alignment vertical="center"/>
    </xf>
    <xf numFmtId="0" fontId="0" fillId="4" borderId="0" xfId="0" applyFill="1">
      <alignment vertical="center"/>
    </xf>
    <xf numFmtId="0" fontId="4" fillId="0" borderId="0" xfId="0" applyFont="1" applyFill="1">
      <alignment vertical="center"/>
    </xf>
    <xf numFmtId="0" fontId="7" fillId="0" borderId="0" xfId="0" applyFont="1">
      <alignment vertical="center"/>
    </xf>
    <xf numFmtId="0" fontId="7" fillId="0" borderId="0" xfId="0" applyFont="1" applyFill="1">
      <alignment vertical="center"/>
    </xf>
    <xf numFmtId="0" fontId="0" fillId="0" borderId="1" xfId="0" applyBorder="1" applyAlignment="1"/>
    <xf numFmtId="49" fontId="0" fillId="0" borderId="1" xfId="0" applyNumberFormat="1" applyBorder="1" applyAlignment="1"/>
    <xf numFmtId="0" fontId="2" fillId="2" borderId="0" xfId="0" applyFont="1" applyFill="1">
      <alignment vertical="center"/>
    </xf>
    <xf numFmtId="0" fontId="0" fillId="0" borderId="0" xfId="0" applyAlignment="1">
      <alignment horizontal="left"/>
    </xf>
    <xf numFmtId="0" fontId="0" fillId="0" borderId="0" xfId="0" applyNumberFormat="1" applyAlignment="1"/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9" fontId="0" fillId="0" borderId="1" xfId="1" applyFont="1" applyBorder="1" applyAlignment="1">
      <alignment vertical="center"/>
    </xf>
    <xf numFmtId="49" fontId="0" fillId="0" borderId="0" xfId="0" applyNumberFormat="1" applyAlignment="1"/>
    <xf numFmtId="0" fontId="7" fillId="2" borderId="0" xfId="0" applyFont="1" applyFill="1">
      <alignment vertical="center"/>
    </xf>
    <xf numFmtId="49" fontId="2" fillId="0" borderId="0" xfId="0" applyNumberFormat="1" applyFont="1">
      <alignment vertical="center"/>
    </xf>
    <xf numFmtId="0" fontId="2" fillId="6" borderId="0" xfId="0" applyFont="1" applyFill="1">
      <alignment vertical="center"/>
    </xf>
    <xf numFmtId="0" fontId="4" fillId="5" borderId="0" xfId="0" applyFont="1" applyFill="1">
      <alignment vertical="center"/>
    </xf>
    <xf numFmtId="0" fontId="0" fillId="5" borderId="0" xfId="0" applyFill="1">
      <alignment vertical="center"/>
    </xf>
    <xf numFmtId="0" fontId="2" fillId="7" borderId="0" xfId="0" applyFont="1" applyFill="1">
      <alignment vertical="center"/>
    </xf>
    <xf numFmtId="0" fontId="2" fillId="8" borderId="0" xfId="0" applyFont="1" applyFill="1">
      <alignment vertical="center"/>
    </xf>
    <xf numFmtId="0" fontId="0" fillId="0" borderId="0" xfId="0" applyBorder="1" applyAlignment="1"/>
    <xf numFmtId="49" fontId="0" fillId="4" borderId="1" xfId="0" applyNumberFormat="1" applyFill="1" applyBorder="1">
      <alignment vertical="center"/>
    </xf>
    <xf numFmtId="0" fontId="2" fillId="0" borderId="1" xfId="0" applyFont="1" applyBorder="1">
      <alignment vertical="center"/>
    </xf>
    <xf numFmtId="0" fontId="0" fillId="7" borderId="1" xfId="0" applyFill="1" applyBorder="1">
      <alignment vertical="center"/>
    </xf>
    <xf numFmtId="0" fontId="7" fillId="0" borderId="1" xfId="0" applyFont="1" applyBorder="1">
      <alignment vertical="center"/>
    </xf>
    <xf numFmtId="49" fontId="0" fillId="0" borderId="1" xfId="0" applyNumberFormat="1" applyBorder="1">
      <alignment vertical="center"/>
    </xf>
    <xf numFmtId="0" fontId="10" fillId="0" borderId="1" xfId="0" applyFont="1" applyBorder="1">
      <alignment vertical="center"/>
    </xf>
    <xf numFmtId="0" fontId="7" fillId="0" borderId="1" xfId="0" applyFont="1" applyFill="1" applyBorder="1">
      <alignment vertical="center"/>
    </xf>
    <xf numFmtId="0" fontId="7" fillId="2" borderId="1" xfId="0" applyFont="1" applyFill="1" applyBorder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87"/>
  <sheetViews>
    <sheetView zoomScale="130" zoomScaleNormal="130" workbookViewId="0">
      <selection activeCell="D24" sqref="D24"/>
    </sheetView>
  </sheetViews>
  <sheetFormatPr defaultRowHeight="15"/>
  <cols>
    <col min="1" max="1" width="19.42578125" bestFit="1" customWidth="1"/>
    <col min="2" max="2" width="41.28515625" customWidth="1"/>
    <col min="3" max="3" width="20.42578125" bestFit="1" customWidth="1"/>
    <col min="4" max="4" width="34.85546875" style="1" customWidth="1"/>
    <col min="5" max="5" width="29" customWidth="1"/>
  </cols>
  <sheetData>
    <row r="1" spans="1:5">
      <c r="A1" t="s">
        <v>0</v>
      </c>
      <c r="B1" t="s">
        <v>126</v>
      </c>
      <c r="C1" t="s">
        <v>127</v>
      </c>
      <c r="D1" s="1" t="s">
        <v>128</v>
      </c>
      <c r="E1" t="s">
        <v>1</v>
      </c>
    </row>
    <row r="2" spans="1:5">
      <c r="A2" t="s">
        <v>254</v>
      </c>
      <c r="B2" t="s">
        <v>3</v>
      </c>
      <c r="C2" t="s">
        <v>2</v>
      </c>
      <c r="D2" s="1">
        <v>88888888</v>
      </c>
      <c r="E2" t="s">
        <v>4</v>
      </c>
    </row>
    <row r="3" spans="1:5">
      <c r="B3" t="s">
        <v>5</v>
      </c>
      <c r="C3" t="s">
        <v>6</v>
      </c>
      <c r="E3" t="s">
        <v>7</v>
      </c>
    </row>
    <row r="4" spans="1:5">
      <c r="B4" t="s">
        <v>9</v>
      </c>
      <c r="C4" t="s">
        <v>10</v>
      </c>
      <c r="E4" t="s">
        <v>8</v>
      </c>
    </row>
    <row r="5" spans="1:5">
      <c r="B5" t="s">
        <v>12</v>
      </c>
      <c r="C5" t="s">
        <v>14</v>
      </c>
      <c r="E5" t="s">
        <v>11</v>
      </c>
    </row>
    <row r="6" spans="1:5">
      <c r="B6" t="s">
        <v>158</v>
      </c>
      <c r="C6" t="s">
        <v>157</v>
      </c>
      <c r="E6" t="s">
        <v>163</v>
      </c>
    </row>
    <row r="7" spans="1:5">
      <c r="B7" t="s">
        <v>159</v>
      </c>
      <c r="C7" t="s">
        <v>160</v>
      </c>
      <c r="E7" t="s">
        <v>163</v>
      </c>
    </row>
    <row r="8" spans="1:5">
      <c r="B8" t="s">
        <v>161</v>
      </c>
      <c r="C8" t="s">
        <v>162</v>
      </c>
      <c r="E8" t="s">
        <v>163</v>
      </c>
    </row>
    <row r="9" spans="1:5">
      <c r="A9" t="s">
        <v>164</v>
      </c>
      <c r="B9" t="s">
        <v>16</v>
      </c>
      <c r="C9" t="s">
        <v>17</v>
      </c>
      <c r="D9" s="1" t="s">
        <v>19</v>
      </c>
      <c r="E9" t="s">
        <v>15</v>
      </c>
    </row>
    <row r="10" spans="1:5">
      <c r="A10" t="s">
        <v>311</v>
      </c>
      <c r="B10" t="s">
        <v>186</v>
      </c>
      <c r="C10" t="s">
        <v>21</v>
      </c>
      <c r="D10" s="1" t="s">
        <v>217</v>
      </c>
      <c r="E10" t="s">
        <v>20</v>
      </c>
    </row>
    <row r="11" spans="1:5">
      <c r="A11" t="s">
        <v>26</v>
      </c>
      <c r="B11" t="s">
        <v>25</v>
      </c>
      <c r="C11" t="s">
        <v>23</v>
      </c>
      <c r="D11" s="1" t="s">
        <v>24</v>
      </c>
      <c r="E11" t="s">
        <v>22</v>
      </c>
    </row>
    <row r="12" spans="1:5">
      <c r="A12" t="s">
        <v>230</v>
      </c>
      <c r="B12" t="s">
        <v>233</v>
      </c>
      <c r="C12" s="2" t="s">
        <v>180</v>
      </c>
      <c r="D12" s="1" t="s">
        <v>210</v>
      </c>
      <c r="E12" t="s">
        <v>179</v>
      </c>
    </row>
    <row r="13" spans="1:5">
      <c r="B13" s="2" t="s">
        <v>227</v>
      </c>
      <c r="C13" s="2" t="s">
        <v>226</v>
      </c>
      <c r="E13" t="s">
        <v>228</v>
      </c>
    </row>
    <row r="14" spans="1:5">
      <c r="B14" s="2" t="s">
        <v>234</v>
      </c>
      <c r="C14" s="2" t="s">
        <v>232</v>
      </c>
      <c r="E14" t="s">
        <v>231</v>
      </c>
    </row>
    <row r="15" spans="1:5">
      <c r="A15" t="s">
        <v>215</v>
      </c>
      <c r="B15" t="s">
        <v>192</v>
      </c>
      <c r="C15" t="s">
        <v>224</v>
      </c>
      <c r="D15" s="1" t="s">
        <v>288</v>
      </c>
      <c r="E15" t="s">
        <v>27</v>
      </c>
    </row>
    <row r="16" spans="1:5">
      <c r="A16" t="s">
        <v>136</v>
      </c>
      <c r="B16" t="s">
        <v>188</v>
      </c>
      <c r="C16" t="s">
        <v>29</v>
      </c>
      <c r="D16" s="1" t="s">
        <v>289</v>
      </c>
      <c r="E16" t="s">
        <v>28</v>
      </c>
    </row>
    <row r="17" spans="1:5">
      <c r="A17" t="s">
        <v>189</v>
      </c>
      <c r="B17" t="s">
        <v>204</v>
      </c>
      <c r="C17" t="s">
        <v>31</v>
      </c>
      <c r="D17" s="1" t="s">
        <v>290</v>
      </c>
      <c r="E17" t="s">
        <v>30</v>
      </c>
    </row>
    <row r="18" spans="1:5">
      <c r="A18" t="s">
        <v>190</v>
      </c>
      <c r="B18" t="s">
        <v>138</v>
      </c>
      <c r="C18" t="s">
        <v>32</v>
      </c>
      <c r="D18" s="1" t="s">
        <v>291</v>
      </c>
      <c r="E18" t="s">
        <v>33</v>
      </c>
    </row>
    <row r="19" spans="1:5">
      <c r="A19" t="s">
        <v>191</v>
      </c>
      <c r="B19" t="s">
        <v>301</v>
      </c>
      <c r="C19" t="s">
        <v>35</v>
      </c>
      <c r="D19" s="1" t="s">
        <v>292</v>
      </c>
      <c r="E19" t="s">
        <v>34</v>
      </c>
    </row>
    <row r="20" spans="1:5">
      <c r="A20" t="s">
        <v>322</v>
      </c>
      <c r="B20" s="2" t="s">
        <v>302</v>
      </c>
      <c r="C20" s="2" t="s">
        <v>300</v>
      </c>
      <c r="E20" t="s">
        <v>303</v>
      </c>
    </row>
    <row r="21" spans="1:5">
      <c r="A21" t="s">
        <v>39</v>
      </c>
      <c r="B21" t="s">
        <v>38</v>
      </c>
      <c r="C21" t="s">
        <v>37</v>
      </c>
      <c r="D21" s="1" t="s">
        <v>40</v>
      </c>
      <c r="E21" t="s">
        <v>36</v>
      </c>
    </row>
    <row r="22" spans="1:5">
      <c r="A22" t="s">
        <v>194</v>
      </c>
      <c r="B22" t="s">
        <v>193</v>
      </c>
      <c r="C22" t="s">
        <v>42</v>
      </c>
      <c r="D22" s="1" t="s">
        <v>187</v>
      </c>
      <c r="E22" t="s">
        <v>41</v>
      </c>
    </row>
    <row r="23" spans="1:5">
      <c r="A23" t="s">
        <v>142</v>
      </c>
      <c r="B23" t="s">
        <v>141</v>
      </c>
      <c r="C23" t="s">
        <v>43</v>
      </c>
      <c r="D23" s="1" t="s">
        <v>45</v>
      </c>
      <c r="E23" t="s">
        <v>44</v>
      </c>
    </row>
    <row r="24" spans="1:5">
      <c r="A24" t="s">
        <v>176</v>
      </c>
      <c r="B24" t="s">
        <v>305</v>
      </c>
      <c r="C24" t="s">
        <v>47</v>
      </c>
      <c r="D24" s="1" t="s">
        <v>238</v>
      </c>
      <c r="E24" t="s">
        <v>46</v>
      </c>
    </row>
    <row r="25" spans="1:5">
      <c r="B25" s="2" t="s">
        <v>306</v>
      </c>
      <c r="C25" s="2" t="s">
        <v>304</v>
      </c>
      <c r="E25" t="s">
        <v>321</v>
      </c>
    </row>
    <row r="26" spans="1:5">
      <c r="A26" t="s">
        <v>196</v>
      </c>
      <c r="B26" t="s">
        <v>195</v>
      </c>
      <c r="C26" t="s">
        <v>49</v>
      </c>
      <c r="D26" s="1" t="s">
        <v>187</v>
      </c>
      <c r="E26" t="s">
        <v>48</v>
      </c>
    </row>
    <row r="27" spans="1:5">
      <c r="A27" t="s">
        <v>143</v>
      </c>
      <c r="B27" t="s">
        <v>256</v>
      </c>
      <c r="C27" t="s">
        <v>51</v>
      </c>
      <c r="D27" s="1" t="s">
        <v>187</v>
      </c>
      <c r="E27" t="s">
        <v>50</v>
      </c>
    </row>
    <row r="28" spans="1:5">
      <c r="B28" s="2" t="s">
        <v>258</v>
      </c>
      <c r="C28" s="2" t="s">
        <v>255</v>
      </c>
      <c r="E28" t="s">
        <v>257</v>
      </c>
    </row>
    <row r="29" spans="1:5">
      <c r="B29" s="2" t="s">
        <v>281</v>
      </c>
      <c r="C29" s="2" t="s">
        <v>266</v>
      </c>
      <c r="E29" t="s">
        <v>259</v>
      </c>
    </row>
    <row r="30" spans="1:5">
      <c r="B30" s="2" t="s">
        <v>282</v>
      </c>
      <c r="C30" s="2" t="s">
        <v>280</v>
      </c>
      <c r="E30" t="s">
        <v>283</v>
      </c>
    </row>
    <row r="31" spans="1:5">
      <c r="B31" s="2" t="s">
        <v>263</v>
      </c>
      <c r="C31" s="2" t="s">
        <v>262</v>
      </c>
      <c r="E31" t="s">
        <v>279</v>
      </c>
    </row>
    <row r="32" spans="1:5">
      <c r="B32" s="2" t="s">
        <v>270</v>
      </c>
      <c r="C32" s="2" t="s">
        <v>260</v>
      </c>
      <c r="E32" t="s">
        <v>268</v>
      </c>
    </row>
    <row r="33" spans="1:5">
      <c r="B33" s="2" t="s">
        <v>264</v>
      </c>
      <c r="C33" s="2" t="s">
        <v>116</v>
      </c>
      <c r="E33" t="s">
        <v>267</v>
      </c>
    </row>
    <row r="34" spans="1:5">
      <c r="B34" s="2" t="s">
        <v>272</v>
      </c>
      <c r="C34" s="2" t="s">
        <v>269</v>
      </c>
      <c r="E34" t="s">
        <v>284</v>
      </c>
    </row>
    <row r="35" spans="1:5">
      <c r="B35" s="2" t="s">
        <v>273</v>
      </c>
      <c r="C35" s="2" t="s">
        <v>271</v>
      </c>
      <c r="E35" t="s">
        <v>285</v>
      </c>
    </row>
    <row r="36" spans="1:5">
      <c r="B36" s="2" t="s">
        <v>275</v>
      </c>
      <c r="C36" s="2" t="s">
        <v>274</v>
      </c>
      <c r="E36" t="s">
        <v>286</v>
      </c>
    </row>
    <row r="37" spans="1:5">
      <c r="B37" s="2" t="s">
        <v>277</v>
      </c>
      <c r="C37" s="2" t="s">
        <v>276</v>
      </c>
      <c r="E37" t="s">
        <v>287</v>
      </c>
    </row>
    <row r="38" spans="1:5">
      <c r="A38" t="s">
        <v>265</v>
      </c>
      <c r="B38" t="s">
        <v>222</v>
      </c>
      <c r="C38" t="s">
        <v>53</v>
      </c>
      <c r="D38" s="1" t="s">
        <v>278</v>
      </c>
      <c r="E38" t="s">
        <v>261</v>
      </c>
    </row>
    <row r="39" spans="1:5">
      <c r="A39" t="s">
        <v>221</v>
      </c>
      <c r="B39" t="s">
        <v>223</v>
      </c>
      <c r="C39" s="2" t="s">
        <v>220</v>
      </c>
      <c r="D39" s="1" t="s">
        <v>219</v>
      </c>
      <c r="E39" t="s">
        <v>218</v>
      </c>
    </row>
    <row r="40" spans="1:5">
      <c r="A40" t="s">
        <v>197</v>
      </c>
      <c r="B40" t="s">
        <v>214</v>
      </c>
      <c r="C40" t="s">
        <v>225</v>
      </c>
      <c r="D40" s="1" t="s">
        <v>187</v>
      </c>
      <c r="E40" t="s">
        <v>54</v>
      </c>
    </row>
    <row r="41" spans="1:5">
      <c r="A41" t="s">
        <v>199</v>
      </c>
      <c r="B41" t="s">
        <v>198</v>
      </c>
      <c r="C41" t="s">
        <v>56</v>
      </c>
      <c r="D41" s="1" t="s">
        <v>187</v>
      </c>
      <c r="E41" t="s">
        <v>55</v>
      </c>
    </row>
    <row r="42" spans="1:5">
      <c r="A42" t="s">
        <v>144</v>
      </c>
      <c r="B42" t="s">
        <v>200</v>
      </c>
      <c r="C42" t="s">
        <v>57</v>
      </c>
      <c r="D42" s="1" t="s">
        <v>201</v>
      </c>
      <c r="E42" t="s">
        <v>58</v>
      </c>
    </row>
    <row r="43" spans="1:5">
      <c r="A43" t="s">
        <v>62</v>
      </c>
      <c r="B43" t="s">
        <v>61</v>
      </c>
      <c r="C43" t="s">
        <v>60</v>
      </c>
      <c r="D43" s="1" t="s">
        <v>63</v>
      </c>
      <c r="E43" t="s">
        <v>59</v>
      </c>
    </row>
    <row r="44" spans="1:5">
      <c r="A44" t="s">
        <v>145</v>
      </c>
      <c r="B44" t="s">
        <v>202</v>
      </c>
      <c r="C44" t="s">
        <v>65</v>
      </c>
      <c r="D44" s="1" t="s">
        <v>187</v>
      </c>
      <c r="E44" t="s">
        <v>64</v>
      </c>
    </row>
    <row r="45" spans="1:5">
      <c r="A45" t="s">
        <v>327</v>
      </c>
      <c r="B45" t="s">
        <v>326</v>
      </c>
      <c r="C45" t="s">
        <v>66</v>
      </c>
      <c r="D45" s="1" t="s">
        <v>247</v>
      </c>
      <c r="E45" t="s">
        <v>67</v>
      </c>
    </row>
    <row r="46" spans="1:5">
      <c r="B46" t="s">
        <v>250</v>
      </c>
      <c r="C46" s="2" t="s">
        <v>249</v>
      </c>
      <c r="E46" t="s">
        <v>248</v>
      </c>
    </row>
    <row r="47" spans="1:5">
      <c r="A47" t="s">
        <v>147</v>
      </c>
      <c r="B47" t="s">
        <v>203</v>
      </c>
      <c r="C47" t="s">
        <v>69</v>
      </c>
      <c r="D47" s="1" t="s">
        <v>187</v>
      </c>
      <c r="E47" t="s">
        <v>68</v>
      </c>
    </row>
    <row r="48" spans="1:5">
      <c r="A48" t="s">
        <v>206</v>
      </c>
      <c r="B48" t="s">
        <v>205</v>
      </c>
      <c r="C48" t="s">
        <v>71</v>
      </c>
      <c r="D48" s="1" t="s">
        <v>187</v>
      </c>
      <c r="E48" t="s">
        <v>70</v>
      </c>
    </row>
    <row r="49" spans="1:5">
      <c r="A49" t="s">
        <v>148</v>
      </c>
      <c r="B49" t="s">
        <v>207</v>
      </c>
      <c r="C49" t="s">
        <v>73</v>
      </c>
      <c r="D49" s="1" t="s">
        <v>187</v>
      </c>
      <c r="E49" t="s">
        <v>72</v>
      </c>
    </row>
    <row r="50" spans="1:5">
      <c r="A50" t="s">
        <v>77</v>
      </c>
      <c r="B50" t="s">
        <v>76</v>
      </c>
      <c r="C50" t="s">
        <v>74</v>
      </c>
      <c r="D50" s="1" t="s">
        <v>129</v>
      </c>
      <c r="E50" t="s">
        <v>75</v>
      </c>
    </row>
    <row r="51" spans="1:5">
      <c r="A51" t="s">
        <v>149</v>
      </c>
      <c r="B51" t="s">
        <v>308</v>
      </c>
      <c r="C51" t="s">
        <v>79</v>
      </c>
      <c r="D51" s="1" t="s">
        <v>212</v>
      </c>
      <c r="E51" t="s">
        <v>78</v>
      </c>
    </row>
    <row r="52" spans="1:5">
      <c r="A52" t="s">
        <v>325</v>
      </c>
      <c r="B52" s="2" t="s">
        <v>309</v>
      </c>
      <c r="C52" s="2" t="s">
        <v>307</v>
      </c>
      <c r="E52" t="s">
        <v>310</v>
      </c>
    </row>
    <row r="53" spans="1:5">
      <c r="B53" t="s">
        <v>208</v>
      </c>
      <c r="C53" t="s">
        <v>80</v>
      </c>
      <c r="E53" t="s">
        <v>81</v>
      </c>
    </row>
    <row r="54" spans="1:5">
      <c r="B54" t="s">
        <v>298</v>
      </c>
      <c r="C54" s="2" t="s">
        <v>299</v>
      </c>
      <c r="E54" t="s">
        <v>105</v>
      </c>
    </row>
    <row r="55" spans="1:5">
      <c r="B55" t="s">
        <v>106</v>
      </c>
      <c r="C55" t="s">
        <v>107</v>
      </c>
      <c r="E55" t="s">
        <v>105</v>
      </c>
    </row>
    <row r="56" spans="1:5">
      <c r="A56" t="s">
        <v>165</v>
      </c>
      <c r="B56" t="s">
        <v>97</v>
      </c>
      <c r="C56" t="s">
        <v>82</v>
      </c>
      <c r="D56" s="1">
        <v>8</v>
      </c>
      <c r="E56" t="s">
        <v>96</v>
      </c>
    </row>
    <row r="57" spans="1:5">
      <c r="A57" t="s">
        <v>251</v>
      </c>
      <c r="B57" t="s">
        <v>83</v>
      </c>
      <c r="C57" t="s">
        <v>84</v>
      </c>
      <c r="D57" s="1">
        <v>8</v>
      </c>
      <c r="E57" t="s">
        <v>96</v>
      </c>
    </row>
    <row r="58" spans="1:5">
      <c r="A58" t="s">
        <v>99</v>
      </c>
      <c r="B58" t="s">
        <v>85</v>
      </c>
      <c r="C58" t="s">
        <v>86</v>
      </c>
      <c r="D58" s="1">
        <v>8</v>
      </c>
      <c r="E58" t="s">
        <v>96</v>
      </c>
    </row>
    <row r="59" spans="1:5">
      <c r="A59" t="s">
        <v>100</v>
      </c>
      <c r="B59" t="s">
        <v>87</v>
      </c>
      <c r="C59" t="s">
        <v>88</v>
      </c>
      <c r="D59" s="1">
        <v>8</v>
      </c>
      <c r="E59" t="s">
        <v>96</v>
      </c>
    </row>
    <row r="60" spans="1:5">
      <c r="A60" t="s">
        <v>252</v>
      </c>
      <c r="B60" t="s">
        <v>89</v>
      </c>
      <c r="C60" t="s">
        <v>166</v>
      </c>
      <c r="D60" s="1">
        <v>8</v>
      </c>
      <c r="E60" t="s">
        <v>96</v>
      </c>
    </row>
    <row r="61" spans="1:5">
      <c r="A61" t="s">
        <v>102</v>
      </c>
      <c r="B61" t="s">
        <v>90</v>
      </c>
      <c r="C61" t="s">
        <v>91</v>
      </c>
      <c r="D61" s="1">
        <v>8</v>
      </c>
      <c r="E61" t="s">
        <v>96</v>
      </c>
    </row>
    <row r="62" spans="1:5">
      <c r="A62" t="s">
        <v>103</v>
      </c>
      <c r="B62" t="s">
        <v>92</v>
      </c>
      <c r="C62" t="s">
        <v>93</v>
      </c>
      <c r="D62" s="1">
        <v>8</v>
      </c>
      <c r="E62" t="s">
        <v>96</v>
      </c>
    </row>
    <row r="63" spans="1:5">
      <c r="A63" t="s">
        <v>104</v>
      </c>
      <c r="B63" t="s">
        <v>94</v>
      </c>
      <c r="C63" t="s">
        <v>95</v>
      </c>
      <c r="D63" s="1">
        <v>8</v>
      </c>
      <c r="E63" t="s">
        <v>96</v>
      </c>
    </row>
    <row r="64" spans="1:5">
      <c r="B64" t="s">
        <v>169</v>
      </c>
      <c r="C64" t="s">
        <v>109</v>
      </c>
      <c r="E64" t="s">
        <v>108</v>
      </c>
    </row>
    <row r="65" spans="1:5">
      <c r="A65" t="s">
        <v>151</v>
      </c>
      <c r="B65" t="s">
        <v>168</v>
      </c>
      <c r="C65" t="s">
        <v>110</v>
      </c>
      <c r="D65" s="1" t="s">
        <v>235</v>
      </c>
      <c r="E65" t="s">
        <v>111</v>
      </c>
    </row>
    <row r="66" spans="1:5">
      <c r="B66" t="s">
        <v>170</v>
      </c>
      <c r="C66" t="s">
        <v>113</v>
      </c>
      <c r="E66" t="s">
        <v>112</v>
      </c>
    </row>
    <row r="67" spans="1:5">
      <c r="B67" t="s">
        <v>152</v>
      </c>
      <c r="C67" t="s">
        <v>116</v>
      </c>
      <c r="E67" t="s">
        <v>114</v>
      </c>
    </row>
    <row r="68" spans="1:5">
      <c r="B68" t="s">
        <v>171</v>
      </c>
      <c r="C68" t="s">
        <v>116</v>
      </c>
      <c r="E68" t="s">
        <v>115</v>
      </c>
    </row>
    <row r="69" spans="1:5">
      <c r="B69" t="s">
        <v>172</v>
      </c>
      <c r="C69" t="s">
        <v>118</v>
      </c>
      <c r="E69" t="s">
        <v>117</v>
      </c>
    </row>
    <row r="70" spans="1:5">
      <c r="B70" t="s">
        <v>173</v>
      </c>
      <c r="C70" t="s">
        <v>13</v>
      </c>
      <c r="E70" t="s">
        <v>119</v>
      </c>
    </row>
    <row r="71" spans="1:5">
      <c r="A71" t="s">
        <v>237</v>
      </c>
      <c r="B71" t="s">
        <v>175</v>
      </c>
      <c r="C71" t="s">
        <v>236</v>
      </c>
      <c r="D71" s="1" t="s">
        <v>239</v>
      </c>
      <c r="E71" t="s">
        <v>240</v>
      </c>
    </row>
    <row r="72" spans="1:5">
      <c r="B72" t="s">
        <v>174</v>
      </c>
      <c r="C72" t="s">
        <v>121</v>
      </c>
      <c r="E72" t="s">
        <v>120</v>
      </c>
    </row>
    <row r="73" spans="1:5">
      <c r="B73" t="s">
        <v>244</v>
      </c>
      <c r="C73" t="s">
        <v>116</v>
      </c>
      <c r="E73" t="s">
        <v>120</v>
      </c>
    </row>
    <row r="74" spans="1:5">
      <c r="B74" t="s">
        <v>211</v>
      </c>
      <c r="C74" t="s">
        <v>123</v>
      </c>
      <c r="E74" t="s">
        <v>122</v>
      </c>
    </row>
    <row r="75" spans="1:5">
      <c r="B75" t="s">
        <v>242</v>
      </c>
      <c r="C75" t="s">
        <v>241</v>
      </c>
      <c r="E75" t="s">
        <v>209</v>
      </c>
    </row>
    <row r="76" spans="1:5">
      <c r="B76" t="s">
        <v>245</v>
      </c>
      <c r="C76" t="s">
        <v>243</v>
      </c>
      <c r="E76" t="s">
        <v>246</v>
      </c>
    </row>
    <row r="77" spans="1:5">
      <c r="B77" t="s">
        <v>312</v>
      </c>
      <c r="C77" t="s">
        <v>125</v>
      </c>
      <c r="E77" t="s">
        <v>124</v>
      </c>
    </row>
    <row r="78" spans="1:5">
      <c r="B78" t="s">
        <v>313</v>
      </c>
      <c r="C78" t="s">
        <v>299</v>
      </c>
      <c r="E78" t="s">
        <v>314</v>
      </c>
    </row>
    <row r="79" spans="1:5">
      <c r="B79" t="s">
        <v>317</v>
      </c>
      <c r="C79" t="s">
        <v>107</v>
      </c>
      <c r="E79" t="s">
        <v>319</v>
      </c>
    </row>
    <row r="80" spans="1:5">
      <c r="B80" t="s">
        <v>315</v>
      </c>
      <c r="C80" t="s">
        <v>299</v>
      </c>
      <c r="E80" t="s">
        <v>316</v>
      </c>
    </row>
    <row r="81" spans="1:5">
      <c r="B81" t="s">
        <v>318</v>
      </c>
      <c r="C81" t="s">
        <v>107</v>
      </c>
      <c r="E81" t="s">
        <v>320</v>
      </c>
    </row>
    <row r="82" spans="1:5">
      <c r="A82" t="s">
        <v>135</v>
      </c>
      <c r="D82" s="1" t="s">
        <v>132</v>
      </c>
      <c r="E82" t="s">
        <v>133</v>
      </c>
    </row>
    <row r="83" spans="1:5">
      <c r="A83" t="s">
        <v>130</v>
      </c>
      <c r="D83" s="1" t="s">
        <v>131</v>
      </c>
      <c r="E83" t="s">
        <v>134</v>
      </c>
    </row>
    <row r="84" spans="1:5">
      <c r="A84" t="s">
        <v>329</v>
      </c>
      <c r="D84" s="1" t="s">
        <v>332</v>
      </c>
    </row>
    <row r="85" spans="1:5">
      <c r="A85" t="s">
        <v>294</v>
      </c>
      <c r="D85" s="1" t="s">
        <v>293</v>
      </c>
    </row>
    <row r="86" spans="1:5" ht="12.75" customHeight="1">
      <c r="A86" t="s">
        <v>328</v>
      </c>
      <c r="D86" s="1" t="s">
        <v>330</v>
      </c>
    </row>
    <row r="87" spans="1:5">
      <c r="A87" t="s">
        <v>331</v>
      </c>
      <c r="D87" t="b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selection activeCell="H31" sqref="H31"/>
    </sheetView>
  </sheetViews>
  <sheetFormatPr defaultRowHeight="15"/>
  <cols>
    <col min="1" max="4" width="15.5703125" customWidth="1"/>
  </cols>
  <sheetData>
    <row r="1" spans="1:4">
      <c r="A1" t="s">
        <v>1293</v>
      </c>
      <c r="B1" t="s">
        <v>1292</v>
      </c>
      <c r="C1" t="s">
        <v>1294</v>
      </c>
      <c r="D1" t="s">
        <v>1295</v>
      </c>
    </row>
    <row r="2" spans="1:4">
      <c r="A2" t="s">
        <v>1197</v>
      </c>
      <c r="B2" t="s">
        <v>1296</v>
      </c>
      <c r="C2" t="s">
        <v>1297</v>
      </c>
      <c r="D2" t="s">
        <v>1298</v>
      </c>
    </row>
    <row r="3" spans="1:4">
      <c r="A3" t="s">
        <v>1197</v>
      </c>
      <c r="B3" t="s">
        <v>1303</v>
      </c>
      <c r="C3" t="s">
        <v>1297</v>
      </c>
      <c r="D3" t="s">
        <v>1298</v>
      </c>
    </row>
    <row r="4" spans="1:4">
      <c r="A4" t="s">
        <v>1197</v>
      </c>
      <c r="B4" t="s">
        <v>1304</v>
      </c>
      <c r="C4" t="s">
        <v>1297</v>
      </c>
      <c r="D4" t="s">
        <v>1298</v>
      </c>
    </row>
    <row r="5" spans="1:4">
      <c r="A5" t="s">
        <v>1197</v>
      </c>
      <c r="B5" t="s">
        <v>1305</v>
      </c>
      <c r="C5" t="s">
        <v>1297</v>
      </c>
      <c r="D5" t="s">
        <v>1298</v>
      </c>
    </row>
    <row r="6" spans="1:4">
      <c r="A6" t="s">
        <v>1197</v>
      </c>
      <c r="B6" t="s">
        <v>1306</v>
      </c>
      <c r="C6" t="s">
        <v>1297</v>
      </c>
      <c r="D6" t="s">
        <v>1298</v>
      </c>
    </row>
    <row r="7" spans="1:4">
      <c r="A7" t="s">
        <v>1197</v>
      </c>
      <c r="B7" t="s">
        <v>1307</v>
      </c>
      <c r="C7" t="s">
        <v>1299</v>
      </c>
      <c r="D7" t="s">
        <v>1300</v>
      </c>
    </row>
    <row r="8" spans="1:4">
      <c r="A8" t="s">
        <v>1197</v>
      </c>
      <c r="B8" t="s">
        <v>1308</v>
      </c>
      <c r="C8" t="s">
        <v>1299</v>
      </c>
      <c r="D8" t="s">
        <v>1300</v>
      </c>
    </row>
    <row r="9" spans="1:4">
      <c r="A9" t="s">
        <v>1197</v>
      </c>
      <c r="B9" t="s">
        <v>1193</v>
      </c>
      <c r="C9" t="s">
        <v>1301</v>
      </c>
      <c r="D9" t="s">
        <v>1302</v>
      </c>
    </row>
    <row r="10" spans="1:4">
      <c r="A10" t="s">
        <v>1408</v>
      </c>
      <c r="B10" t="s">
        <v>1296</v>
      </c>
      <c r="C10" t="s">
        <v>1309</v>
      </c>
      <c r="D10" t="s">
        <v>1311</v>
      </c>
    </row>
    <row r="11" spans="1:4">
      <c r="A11" t="s">
        <v>1408</v>
      </c>
      <c r="B11" t="s">
        <v>1303</v>
      </c>
      <c r="C11" t="s">
        <v>1309</v>
      </c>
      <c r="D11" t="s">
        <v>1311</v>
      </c>
    </row>
    <row r="12" spans="1:4">
      <c r="A12" t="s">
        <v>1408</v>
      </c>
      <c r="B12" t="s">
        <v>1304</v>
      </c>
      <c r="C12" t="s">
        <v>1309</v>
      </c>
      <c r="D12" t="s">
        <v>1311</v>
      </c>
    </row>
    <row r="13" spans="1:4">
      <c r="A13" t="s">
        <v>1408</v>
      </c>
      <c r="B13" t="s">
        <v>1305</v>
      </c>
      <c r="C13" t="s">
        <v>1309</v>
      </c>
      <c r="D13" t="s">
        <v>1311</v>
      </c>
    </row>
    <row r="14" spans="1:4">
      <c r="A14" t="s">
        <v>1408</v>
      </c>
      <c r="B14" t="s">
        <v>1306</v>
      </c>
      <c r="C14" t="s">
        <v>1309</v>
      </c>
      <c r="D14" t="s">
        <v>1311</v>
      </c>
    </row>
    <row r="15" spans="1:4">
      <c r="A15" t="s">
        <v>1408</v>
      </c>
      <c r="B15" t="s">
        <v>1307</v>
      </c>
      <c r="C15" t="s">
        <v>1310</v>
      </c>
      <c r="D15" t="s">
        <v>1311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S235"/>
  <sheetViews>
    <sheetView zoomScaleNormal="100" workbookViewId="0">
      <pane ySplit="1" topLeftCell="A62" activePane="bottomLeft" state="frozen"/>
      <selection activeCell="A244" sqref="A244"/>
      <selection pane="bottomLeft" activeCell="A84" sqref="A84"/>
    </sheetView>
  </sheetViews>
  <sheetFormatPr defaultRowHeight="15"/>
  <cols>
    <col min="1" max="1" width="80.7109375" customWidth="1"/>
    <col min="2" max="2" width="9.140625" customWidth="1"/>
    <col min="3" max="3" width="19.85546875" customWidth="1"/>
    <col min="4" max="4" width="50.42578125" customWidth="1"/>
    <col min="5" max="5" width="8.5703125" customWidth="1"/>
    <col min="6" max="6" width="13" customWidth="1"/>
    <col min="7" max="8" width="9.140625" customWidth="1"/>
    <col min="9" max="9" width="12.42578125" customWidth="1"/>
    <col min="10" max="10" width="8.42578125" customWidth="1"/>
    <col min="11" max="11" width="9" customWidth="1"/>
    <col min="12" max="16" width="9.140625" customWidth="1"/>
    <col min="17" max="17" width="10.7109375" style="1" bestFit="1" customWidth="1"/>
  </cols>
  <sheetData>
    <row r="1" spans="1:19" ht="24" customHeight="1">
      <c r="A1" t="s">
        <v>491</v>
      </c>
      <c r="B1" t="s">
        <v>498</v>
      </c>
      <c r="C1" t="s">
        <v>478</v>
      </c>
      <c r="D1" t="s">
        <v>477</v>
      </c>
      <c r="E1" t="s">
        <v>479</v>
      </c>
      <c r="F1" t="s">
        <v>492</v>
      </c>
      <c r="G1" t="s">
        <v>496</v>
      </c>
      <c r="H1" t="s">
        <v>472</v>
      </c>
      <c r="I1" t="s">
        <v>493</v>
      </c>
      <c r="J1" t="s">
        <v>487</v>
      </c>
      <c r="K1" t="s">
        <v>917</v>
      </c>
      <c r="L1" t="s">
        <v>511</v>
      </c>
      <c r="M1" t="s">
        <v>870</v>
      </c>
      <c r="N1" t="s">
        <v>854</v>
      </c>
      <c r="O1" t="s">
        <v>855</v>
      </c>
      <c r="P1" t="s">
        <v>1209</v>
      </c>
      <c r="Q1" s="12" t="s">
        <v>542</v>
      </c>
      <c r="R1" t="s">
        <v>357</v>
      </c>
      <c r="S1" t="s">
        <v>500</v>
      </c>
    </row>
    <row r="2" spans="1:19" ht="24" customHeight="1">
      <c r="A2" t="s">
        <v>802</v>
      </c>
      <c r="B2" t="b">
        <v>0</v>
      </c>
      <c r="C2" t="s">
        <v>802</v>
      </c>
      <c r="D2" s="2" t="s">
        <v>728</v>
      </c>
      <c r="E2">
        <v>0</v>
      </c>
      <c r="F2" t="s">
        <v>696</v>
      </c>
      <c r="G2" t="s">
        <v>499</v>
      </c>
      <c r="H2" t="s">
        <v>499</v>
      </c>
      <c r="I2" s="2" t="s">
        <v>495</v>
      </c>
      <c r="J2">
        <v>0</v>
      </c>
      <c r="P2" t="b">
        <v>0</v>
      </c>
      <c r="Q2" s="12"/>
    </row>
    <row r="3" spans="1:19" ht="24" customHeight="1">
      <c r="A3" t="s">
        <v>802</v>
      </c>
      <c r="B3" t="b">
        <v>0</v>
      </c>
      <c r="C3" t="s">
        <v>802</v>
      </c>
      <c r="D3" t="s">
        <v>729</v>
      </c>
      <c r="E3">
        <v>1</v>
      </c>
      <c r="F3" t="s">
        <v>730</v>
      </c>
      <c r="G3" t="s">
        <v>499</v>
      </c>
      <c r="H3" t="s">
        <v>731</v>
      </c>
      <c r="I3" t="s">
        <v>731</v>
      </c>
      <c r="N3" t="s">
        <v>510</v>
      </c>
      <c r="O3" t="b">
        <v>1</v>
      </c>
      <c r="P3" t="b">
        <v>0</v>
      </c>
      <c r="Q3" t="s">
        <v>802</v>
      </c>
    </row>
    <row r="4" spans="1:19">
      <c r="A4" t="s">
        <v>339</v>
      </c>
      <c r="B4" t="b">
        <v>0</v>
      </c>
      <c r="C4" t="s">
        <v>802</v>
      </c>
      <c r="D4" s="2" t="s">
        <v>704</v>
      </c>
      <c r="E4">
        <v>0</v>
      </c>
      <c r="F4" t="s">
        <v>471</v>
      </c>
      <c r="G4" t="s">
        <v>473</v>
      </c>
      <c r="H4" t="s">
        <v>473</v>
      </c>
      <c r="I4" s="2" t="s">
        <v>494</v>
      </c>
      <c r="P4" t="b">
        <v>1</v>
      </c>
      <c r="Q4" s="12" t="s">
        <v>820</v>
      </c>
    </row>
    <row r="5" spans="1:19" ht="16.5">
      <c r="A5" s="18" t="s">
        <v>342</v>
      </c>
      <c r="B5" t="b">
        <v>0</v>
      </c>
      <c r="C5" t="s">
        <v>802</v>
      </c>
      <c r="D5" s="2" t="s">
        <v>705</v>
      </c>
      <c r="E5">
        <v>0</v>
      </c>
      <c r="F5" t="s">
        <v>471</v>
      </c>
      <c r="G5" t="s">
        <v>473</v>
      </c>
      <c r="H5" t="s">
        <v>473</v>
      </c>
      <c r="I5" s="2" t="s">
        <v>494</v>
      </c>
      <c r="P5" t="b">
        <v>1</v>
      </c>
      <c r="Q5" s="12" t="s">
        <v>821</v>
      </c>
    </row>
    <row r="6" spans="1:19" ht="16.5">
      <c r="A6" s="18" t="s">
        <v>333</v>
      </c>
      <c r="B6" t="b">
        <v>0</v>
      </c>
      <c r="C6" t="s">
        <v>802</v>
      </c>
      <c r="D6" s="2" t="s">
        <v>706</v>
      </c>
      <c r="E6">
        <v>0</v>
      </c>
      <c r="F6" t="s">
        <v>471</v>
      </c>
      <c r="G6" t="s">
        <v>473</v>
      </c>
      <c r="H6" t="s">
        <v>473</v>
      </c>
      <c r="I6" s="2" t="s">
        <v>494</v>
      </c>
      <c r="P6" t="b">
        <v>1</v>
      </c>
      <c r="Q6" s="12" t="s">
        <v>817</v>
      </c>
    </row>
    <row r="7" spans="1:19" ht="16.5">
      <c r="A7" s="18" t="s">
        <v>336</v>
      </c>
      <c r="B7" t="b">
        <v>0</v>
      </c>
      <c r="C7" t="s">
        <v>802</v>
      </c>
      <c r="D7" s="2" t="s">
        <v>707</v>
      </c>
      <c r="E7">
        <v>0</v>
      </c>
      <c r="F7" t="s">
        <v>471</v>
      </c>
      <c r="G7" t="s">
        <v>473</v>
      </c>
      <c r="H7" t="s">
        <v>473</v>
      </c>
      <c r="I7" s="2" t="s">
        <v>494</v>
      </c>
      <c r="P7" t="b">
        <v>1</v>
      </c>
      <c r="Q7" s="12" t="s">
        <v>818</v>
      </c>
    </row>
    <row r="8" spans="1:19" ht="16.5">
      <c r="A8" s="18" t="s">
        <v>337</v>
      </c>
      <c r="B8" t="b">
        <v>0</v>
      </c>
      <c r="C8" t="s">
        <v>802</v>
      </c>
      <c r="D8" s="2" t="s">
        <v>708</v>
      </c>
      <c r="E8">
        <v>0</v>
      </c>
      <c r="F8" t="s">
        <v>471</v>
      </c>
      <c r="G8" t="s">
        <v>473</v>
      </c>
      <c r="H8" t="s">
        <v>473</v>
      </c>
      <c r="I8" s="2" t="s">
        <v>494</v>
      </c>
      <c r="P8" t="b">
        <v>1</v>
      </c>
      <c r="Q8" s="12" t="s">
        <v>819</v>
      </c>
    </row>
    <row r="9" spans="1:19" ht="16.5">
      <c r="A9" s="18" t="s">
        <v>346</v>
      </c>
      <c r="B9" t="b">
        <v>0</v>
      </c>
      <c r="C9" t="s">
        <v>802</v>
      </c>
      <c r="D9" s="2" t="s">
        <v>709</v>
      </c>
      <c r="E9">
        <v>0</v>
      </c>
      <c r="F9" t="s">
        <v>471</v>
      </c>
      <c r="G9" t="s">
        <v>473</v>
      </c>
      <c r="H9" t="s">
        <v>473</v>
      </c>
      <c r="I9" s="2" t="s">
        <v>494</v>
      </c>
      <c r="P9" t="b">
        <v>1</v>
      </c>
      <c r="Q9" s="12" t="s">
        <v>598</v>
      </c>
    </row>
    <row r="10" spans="1:19" ht="16.5">
      <c r="A10" s="18" t="s">
        <v>354</v>
      </c>
      <c r="B10" t="b">
        <v>0</v>
      </c>
      <c r="C10" t="s">
        <v>802</v>
      </c>
      <c r="D10" s="2" t="s">
        <v>710</v>
      </c>
      <c r="E10">
        <v>0</v>
      </c>
      <c r="F10" t="s">
        <v>471</v>
      </c>
      <c r="G10" t="s">
        <v>473</v>
      </c>
      <c r="H10" t="s">
        <v>473</v>
      </c>
      <c r="I10" s="2" t="s">
        <v>494</v>
      </c>
      <c r="P10" t="b">
        <v>0</v>
      </c>
      <c r="Q10" s="12" t="s">
        <v>601</v>
      </c>
    </row>
    <row r="11" spans="1:19" ht="16.5">
      <c r="A11" s="18" t="s">
        <v>856</v>
      </c>
      <c r="B11" t="b">
        <v>0</v>
      </c>
      <c r="C11" t="s">
        <v>802</v>
      </c>
      <c r="D11" s="2" t="s">
        <v>875</v>
      </c>
      <c r="E11">
        <v>0</v>
      </c>
      <c r="F11" t="s">
        <v>474</v>
      </c>
      <c r="G11" t="s">
        <v>364</v>
      </c>
      <c r="H11" t="s">
        <v>364</v>
      </c>
      <c r="I11" t="s">
        <v>364</v>
      </c>
      <c r="M11" t="s">
        <v>905</v>
      </c>
      <c r="P11" t="b">
        <v>0</v>
      </c>
      <c r="Q11" s="12" t="s">
        <v>871</v>
      </c>
    </row>
    <row r="12" spans="1:19" ht="16.5">
      <c r="A12" s="18" t="s">
        <v>351</v>
      </c>
      <c r="B12" t="b">
        <v>0</v>
      </c>
      <c r="C12" t="s">
        <v>802</v>
      </c>
      <c r="D12" s="2" t="s">
        <v>711</v>
      </c>
      <c r="E12">
        <v>0</v>
      </c>
      <c r="F12" t="s">
        <v>471</v>
      </c>
      <c r="G12" t="s">
        <v>473</v>
      </c>
      <c r="H12" t="s">
        <v>473</v>
      </c>
      <c r="I12" s="2" t="s">
        <v>494</v>
      </c>
      <c r="P12" t="b">
        <v>1</v>
      </c>
      <c r="Q12" s="12">
        <v>0</v>
      </c>
    </row>
    <row r="13" spans="1:19" ht="16.5">
      <c r="A13" s="18" t="s">
        <v>857</v>
      </c>
      <c r="B13" t="b">
        <v>0</v>
      </c>
      <c r="C13" t="s">
        <v>802</v>
      </c>
      <c r="D13" s="2" t="s">
        <v>713</v>
      </c>
      <c r="E13">
        <v>0</v>
      </c>
      <c r="F13" t="s">
        <v>474</v>
      </c>
      <c r="G13" t="s">
        <v>364</v>
      </c>
      <c r="H13" t="s">
        <v>364</v>
      </c>
      <c r="I13" t="s">
        <v>364</v>
      </c>
      <c r="M13" t="s">
        <v>905</v>
      </c>
      <c r="P13" t="b">
        <v>0</v>
      </c>
      <c r="Q13" s="12" t="s">
        <v>871</v>
      </c>
    </row>
    <row r="14" spans="1:19" ht="16.5">
      <c r="A14" s="18" t="s">
        <v>352</v>
      </c>
      <c r="B14" t="b">
        <v>0</v>
      </c>
      <c r="C14" t="s">
        <v>802</v>
      </c>
      <c r="D14" s="2" t="s">
        <v>906</v>
      </c>
      <c r="E14">
        <v>0</v>
      </c>
      <c r="F14" t="s">
        <v>474</v>
      </c>
      <c r="G14" t="s">
        <v>473</v>
      </c>
      <c r="H14" t="s">
        <v>473</v>
      </c>
      <c r="I14" s="2" t="s">
        <v>494</v>
      </c>
      <c r="P14" t="b">
        <v>1</v>
      </c>
      <c r="Q14" s="12">
        <v>0</v>
      </c>
    </row>
    <row r="15" spans="1:19" ht="16.5">
      <c r="A15" s="18" t="s">
        <v>858</v>
      </c>
      <c r="B15" t="b">
        <v>0</v>
      </c>
      <c r="C15" t="s">
        <v>802</v>
      </c>
      <c r="D15" s="2" t="s">
        <v>876</v>
      </c>
      <c r="E15">
        <v>0</v>
      </c>
      <c r="F15" t="s">
        <v>474</v>
      </c>
      <c r="G15" t="s">
        <v>364</v>
      </c>
      <c r="H15" t="s">
        <v>364</v>
      </c>
      <c r="I15" t="s">
        <v>364</v>
      </c>
      <c r="M15" t="s">
        <v>905</v>
      </c>
      <c r="P15" t="b">
        <v>0</v>
      </c>
      <c r="Q15" s="12" t="s">
        <v>871</v>
      </c>
    </row>
    <row r="16" spans="1:19" ht="16.5">
      <c r="A16" s="18" t="s">
        <v>546</v>
      </c>
      <c r="B16" t="b">
        <v>0</v>
      </c>
      <c r="C16" t="s">
        <v>802</v>
      </c>
      <c r="D16" s="2" t="s">
        <v>714</v>
      </c>
      <c r="E16">
        <v>0</v>
      </c>
      <c r="F16" t="s">
        <v>474</v>
      </c>
      <c r="G16" t="s">
        <v>364</v>
      </c>
      <c r="H16" t="s">
        <v>364</v>
      </c>
      <c r="I16" t="s">
        <v>364</v>
      </c>
      <c r="M16" t="s">
        <v>905</v>
      </c>
      <c r="P16" t="b">
        <v>1</v>
      </c>
      <c r="Q16" s="12" t="s">
        <v>597</v>
      </c>
    </row>
    <row r="17" spans="1:17" ht="16.5">
      <c r="A17" s="18" t="s">
        <v>543</v>
      </c>
      <c r="B17" t="b">
        <v>0</v>
      </c>
      <c r="C17" t="s">
        <v>802</v>
      </c>
      <c r="D17" s="2" t="s">
        <v>712</v>
      </c>
      <c r="E17">
        <v>0</v>
      </c>
      <c r="F17" t="s">
        <v>474</v>
      </c>
      <c r="G17" t="s">
        <v>364</v>
      </c>
      <c r="H17" t="s">
        <v>364</v>
      </c>
      <c r="I17" t="s">
        <v>364</v>
      </c>
      <c r="M17" t="s">
        <v>905</v>
      </c>
      <c r="P17" t="b">
        <v>1</v>
      </c>
      <c r="Q17" s="12" t="s">
        <v>597</v>
      </c>
    </row>
    <row r="18" spans="1:17" ht="16.5">
      <c r="A18" s="18" t="s">
        <v>702</v>
      </c>
      <c r="B18" t="b">
        <v>0</v>
      </c>
      <c r="C18" t="s">
        <v>802</v>
      </c>
      <c r="D18" s="2" t="s">
        <v>715</v>
      </c>
      <c r="E18">
        <v>0</v>
      </c>
      <c r="F18" t="s">
        <v>474</v>
      </c>
      <c r="G18" t="s">
        <v>364</v>
      </c>
      <c r="H18" t="s">
        <v>364</v>
      </c>
      <c r="I18" t="s">
        <v>364</v>
      </c>
      <c r="M18" t="s">
        <v>905</v>
      </c>
      <c r="P18" t="b">
        <v>0</v>
      </c>
      <c r="Q18" s="12" t="s">
        <v>597</v>
      </c>
    </row>
    <row r="19" spans="1:17" ht="16.5">
      <c r="A19" s="18" t="s">
        <v>703</v>
      </c>
      <c r="B19" t="b">
        <v>0</v>
      </c>
      <c r="C19" t="s">
        <v>802</v>
      </c>
      <c r="D19" s="2" t="s">
        <v>1218</v>
      </c>
      <c r="E19">
        <v>0</v>
      </c>
      <c r="F19" t="s">
        <v>474</v>
      </c>
      <c r="G19" t="s">
        <v>364</v>
      </c>
      <c r="H19" t="s">
        <v>364</v>
      </c>
      <c r="I19" t="s">
        <v>364</v>
      </c>
      <c r="M19" t="s">
        <v>905</v>
      </c>
      <c r="P19" t="b">
        <v>0</v>
      </c>
      <c r="Q19" s="12" t="s">
        <v>597</v>
      </c>
    </row>
    <row r="20" spans="1:17" ht="16.5">
      <c r="A20" s="18" t="s">
        <v>356</v>
      </c>
      <c r="B20" t="b">
        <v>0</v>
      </c>
      <c r="C20" t="s">
        <v>802</v>
      </c>
      <c r="D20" s="2" t="s">
        <v>915</v>
      </c>
      <c r="E20">
        <v>0</v>
      </c>
      <c r="F20" t="s">
        <v>696</v>
      </c>
      <c r="G20" t="s">
        <v>499</v>
      </c>
      <c r="H20" t="s">
        <v>499</v>
      </c>
      <c r="I20" s="2" t="s">
        <v>495</v>
      </c>
      <c r="J20">
        <v>0</v>
      </c>
      <c r="L20">
        <v>5</v>
      </c>
      <c r="P20" t="b">
        <v>0</v>
      </c>
      <c r="Q20" s="12"/>
    </row>
    <row r="21" spans="1:17" ht="16.5">
      <c r="A21" s="18" t="s">
        <v>356</v>
      </c>
      <c r="B21" t="b">
        <v>0</v>
      </c>
      <c r="C21" t="s">
        <v>802</v>
      </c>
      <c r="D21" s="2" t="s">
        <v>716</v>
      </c>
      <c r="E21">
        <v>1</v>
      </c>
      <c r="F21" t="s">
        <v>696</v>
      </c>
      <c r="G21" t="s">
        <v>499</v>
      </c>
      <c r="H21" t="s">
        <v>499</v>
      </c>
      <c r="I21" s="2" t="s">
        <v>495</v>
      </c>
      <c r="J21">
        <v>0</v>
      </c>
      <c r="L21">
        <v>5</v>
      </c>
      <c r="P21" t="b">
        <v>0</v>
      </c>
      <c r="Q21" s="12"/>
    </row>
    <row r="22" spans="1:17">
      <c r="A22" t="s">
        <v>908</v>
      </c>
      <c r="B22" t="b">
        <v>0</v>
      </c>
      <c r="C22" t="s">
        <v>802</v>
      </c>
      <c r="D22" t="s">
        <v>804</v>
      </c>
      <c r="E22">
        <v>0</v>
      </c>
      <c r="F22" t="s">
        <v>804</v>
      </c>
      <c r="G22" t="s">
        <v>804</v>
      </c>
      <c r="H22" t="s">
        <v>804</v>
      </c>
      <c r="I22" t="s">
        <v>804</v>
      </c>
      <c r="L22">
        <v>2</v>
      </c>
      <c r="M22" s="12"/>
      <c r="P22" t="b">
        <v>0</v>
      </c>
      <c r="Q22"/>
    </row>
    <row r="23" spans="1:17" ht="24" customHeight="1">
      <c r="A23" t="s">
        <v>359</v>
      </c>
      <c r="B23" t="b">
        <v>0</v>
      </c>
      <c r="C23" t="s">
        <v>359</v>
      </c>
      <c r="D23" s="2" t="s">
        <v>728</v>
      </c>
      <c r="E23">
        <v>0</v>
      </c>
      <c r="F23" t="s">
        <v>696</v>
      </c>
      <c r="G23" t="s">
        <v>499</v>
      </c>
      <c r="H23" t="s">
        <v>499</v>
      </c>
      <c r="I23" s="2" t="s">
        <v>495</v>
      </c>
      <c r="J23">
        <v>0</v>
      </c>
      <c r="P23" t="b">
        <v>0</v>
      </c>
      <c r="Q23" s="12"/>
    </row>
    <row r="24" spans="1:17" ht="24" customHeight="1">
      <c r="A24" t="s">
        <v>359</v>
      </c>
      <c r="B24" t="b">
        <v>0</v>
      </c>
      <c r="C24" t="s">
        <v>359</v>
      </c>
      <c r="D24" t="s">
        <v>729</v>
      </c>
      <c r="E24">
        <v>1</v>
      </c>
      <c r="F24" t="s">
        <v>730</v>
      </c>
      <c r="G24" t="s">
        <v>499</v>
      </c>
      <c r="H24" t="s">
        <v>731</v>
      </c>
      <c r="I24" t="s">
        <v>731</v>
      </c>
      <c r="N24" t="s">
        <v>510</v>
      </c>
      <c r="O24" t="b">
        <v>1</v>
      </c>
      <c r="P24" t="b">
        <v>0</v>
      </c>
      <c r="Q24" t="s">
        <v>359</v>
      </c>
    </row>
    <row r="25" spans="1:17">
      <c r="A25" t="s">
        <v>726</v>
      </c>
      <c r="B25" t="b">
        <v>0</v>
      </c>
      <c r="C25" t="s">
        <v>359</v>
      </c>
      <c r="D25" s="2" t="s">
        <v>907</v>
      </c>
      <c r="E25">
        <v>0</v>
      </c>
      <c r="F25" t="s">
        <v>471</v>
      </c>
      <c r="G25" t="s">
        <v>499</v>
      </c>
      <c r="H25" t="s">
        <v>499</v>
      </c>
      <c r="I25" s="2" t="s">
        <v>494</v>
      </c>
      <c r="P25" t="b">
        <v>0</v>
      </c>
      <c r="Q25" s="12"/>
    </row>
    <row r="26" spans="1:17">
      <c r="A26" t="s">
        <v>726</v>
      </c>
      <c r="B26" t="b">
        <v>0</v>
      </c>
      <c r="C26" t="s">
        <v>359</v>
      </c>
      <c r="D26" s="2" t="s">
        <v>725</v>
      </c>
      <c r="E26">
        <v>1</v>
      </c>
      <c r="F26" t="s">
        <v>696</v>
      </c>
      <c r="G26" t="s">
        <v>499</v>
      </c>
      <c r="H26" t="s">
        <v>499</v>
      </c>
      <c r="I26" s="2" t="s">
        <v>495</v>
      </c>
      <c r="J26">
        <v>0</v>
      </c>
      <c r="P26" t="b">
        <v>0</v>
      </c>
      <c r="Q26" s="12"/>
    </row>
    <row r="27" spans="1:17">
      <c r="A27" t="s">
        <v>919</v>
      </c>
      <c r="B27" t="b">
        <v>0</v>
      </c>
      <c r="C27" t="s">
        <v>359</v>
      </c>
      <c r="D27" s="2" t="s">
        <v>912</v>
      </c>
      <c r="E27">
        <v>0</v>
      </c>
      <c r="F27" s="2" t="s">
        <v>471</v>
      </c>
      <c r="G27" s="2" t="s">
        <v>911</v>
      </c>
      <c r="H27" s="2" t="s">
        <v>911</v>
      </c>
      <c r="I27" s="2" t="s">
        <v>494</v>
      </c>
      <c r="P27" t="b">
        <v>0</v>
      </c>
      <c r="Q27" s="12"/>
    </row>
    <row r="28" spans="1:17">
      <c r="A28" t="s">
        <v>1312</v>
      </c>
      <c r="B28" t="b">
        <v>0</v>
      </c>
      <c r="C28" t="s">
        <v>359</v>
      </c>
      <c r="D28" s="2" t="s">
        <v>718</v>
      </c>
      <c r="E28">
        <v>0</v>
      </c>
      <c r="F28" t="s">
        <v>471</v>
      </c>
      <c r="G28" t="s">
        <v>473</v>
      </c>
      <c r="H28" t="s">
        <v>473</v>
      </c>
      <c r="I28" s="2" t="s">
        <v>494</v>
      </c>
      <c r="P28" t="b">
        <v>1</v>
      </c>
      <c r="Q28" s="21" t="s">
        <v>602</v>
      </c>
    </row>
    <row r="29" spans="1:17">
      <c r="A29" t="s">
        <v>1313</v>
      </c>
      <c r="B29" t="b">
        <v>0</v>
      </c>
      <c r="C29" t="s">
        <v>359</v>
      </c>
      <c r="D29" s="2" t="s">
        <v>717</v>
      </c>
      <c r="E29">
        <v>0</v>
      </c>
      <c r="F29" t="s">
        <v>474</v>
      </c>
      <c r="G29" t="s">
        <v>473</v>
      </c>
      <c r="H29" t="s">
        <v>473</v>
      </c>
      <c r="I29" s="2" t="s">
        <v>494</v>
      </c>
      <c r="P29" t="b">
        <v>1</v>
      </c>
      <c r="Q29" s="12">
        <v>0</v>
      </c>
    </row>
    <row r="30" spans="1:17">
      <c r="A30" t="s">
        <v>1314</v>
      </c>
      <c r="B30" t="b">
        <v>0</v>
      </c>
      <c r="C30" t="s">
        <v>359</v>
      </c>
      <c r="D30" s="2" t="s">
        <v>719</v>
      </c>
      <c r="E30">
        <v>0</v>
      </c>
      <c r="F30" t="s">
        <v>474</v>
      </c>
      <c r="G30" t="s">
        <v>499</v>
      </c>
      <c r="H30" t="s">
        <v>499</v>
      </c>
      <c r="I30" s="2" t="s">
        <v>494</v>
      </c>
      <c r="K30" t="s">
        <v>918</v>
      </c>
      <c r="P30" t="b">
        <v>1</v>
      </c>
      <c r="Q30" s="12" t="s">
        <v>872</v>
      </c>
    </row>
    <row r="31" spans="1:17">
      <c r="A31" t="s">
        <v>920</v>
      </c>
      <c r="B31" t="b">
        <v>0</v>
      </c>
      <c r="C31" t="s">
        <v>359</v>
      </c>
      <c r="D31" s="2" t="s">
        <v>912</v>
      </c>
      <c r="E31">
        <v>0</v>
      </c>
      <c r="F31" s="2" t="s">
        <v>471</v>
      </c>
      <c r="G31" s="2" t="s">
        <v>911</v>
      </c>
      <c r="H31" s="2" t="s">
        <v>911</v>
      </c>
      <c r="I31" s="2" t="s">
        <v>494</v>
      </c>
      <c r="P31" t="b">
        <v>0</v>
      </c>
      <c r="Q31" s="12"/>
    </row>
    <row r="32" spans="1:17">
      <c r="A32" t="s">
        <v>1315</v>
      </c>
      <c r="B32" t="b">
        <v>0</v>
      </c>
      <c r="C32" t="s">
        <v>359</v>
      </c>
      <c r="D32" s="2" t="s">
        <v>723</v>
      </c>
      <c r="E32">
        <v>0</v>
      </c>
      <c r="F32" t="s">
        <v>474</v>
      </c>
      <c r="G32" t="s">
        <v>364</v>
      </c>
      <c r="H32" t="s">
        <v>364</v>
      </c>
      <c r="I32" t="s">
        <v>364</v>
      </c>
      <c r="L32">
        <v>3</v>
      </c>
      <c r="M32" t="s">
        <v>905</v>
      </c>
      <c r="P32" t="b">
        <v>1</v>
      </c>
      <c r="Q32" s="12" t="s">
        <v>603</v>
      </c>
    </row>
    <row r="33" spans="1:17">
      <c r="A33" t="s">
        <v>1316</v>
      </c>
      <c r="B33" t="b">
        <v>0</v>
      </c>
      <c r="C33" t="s">
        <v>359</v>
      </c>
      <c r="D33" s="2" t="s">
        <v>720</v>
      </c>
      <c r="E33">
        <v>0</v>
      </c>
      <c r="F33" t="s">
        <v>474</v>
      </c>
      <c r="G33" t="s">
        <v>364</v>
      </c>
      <c r="H33" t="s">
        <v>364</v>
      </c>
      <c r="I33" t="s">
        <v>364</v>
      </c>
      <c r="J33">
        <v>0</v>
      </c>
      <c r="L33">
        <v>3</v>
      </c>
      <c r="M33" t="s">
        <v>905</v>
      </c>
      <c r="P33" t="b">
        <v>1</v>
      </c>
      <c r="Q33" s="12" t="s">
        <v>603</v>
      </c>
    </row>
    <row r="34" spans="1:17">
      <c r="A34" t="s">
        <v>1317</v>
      </c>
      <c r="B34" t="b">
        <v>0</v>
      </c>
      <c r="C34" t="s">
        <v>359</v>
      </c>
      <c r="D34" s="2" t="s">
        <v>721</v>
      </c>
      <c r="E34">
        <v>0</v>
      </c>
      <c r="F34" t="s">
        <v>474</v>
      </c>
      <c r="G34" t="s">
        <v>473</v>
      </c>
      <c r="H34" t="s">
        <v>473</v>
      </c>
      <c r="I34" s="2" t="s">
        <v>494</v>
      </c>
      <c r="P34" t="b">
        <v>1</v>
      </c>
      <c r="Q34" s="12" t="s">
        <v>631</v>
      </c>
    </row>
    <row r="35" spans="1:17">
      <c r="A35" t="s">
        <v>1318</v>
      </c>
      <c r="B35" t="b">
        <v>0</v>
      </c>
      <c r="C35" t="s">
        <v>359</v>
      </c>
      <c r="D35" s="2" t="s">
        <v>722</v>
      </c>
      <c r="E35">
        <v>0</v>
      </c>
      <c r="F35" t="s">
        <v>474</v>
      </c>
      <c r="G35" t="s">
        <v>499</v>
      </c>
      <c r="H35" t="s">
        <v>499</v>
      </c>
      <c r="I35" s="2" t="s">
        <v>494</v>
      </c>
      <c r="P35" t="b">
        <v>1</v>
      </c>
      <c r="Q35" s="12" t="s">
        <v>873</v>
      </c>
    </row>
    <row r="36" spans="1:17">
      <c r="A36" t="s">
        <v>921</v>
      </c>
      <c r="B36" t="b">
        <v>0</v>
      </c>
      <c r="C36" t="s">
        <v>359</v>
      </c>
      <c r="D36" s="2" t="s">
        <v>912</v>
      </c>
      <c r="E36">
        <v>0</v>
      </c>
      <c r="F36" s="2" t="s">
        <v>471</v>
      </c>
      <c r="G36" s="2" t="s">
        <v>911</v>
      </c>
      <c r="H36" s="2" t="s">
        <v>911</v>
      </c>
      <c r="I36" s="2" t="s">
        <v>494</v>
      </c>
      <c r="P36" t="b">
        <v>0</v>
      </c>
      <c r="Q36" s="12"/>
    </row>
    <row r="37" spans="1:17">
      <c r="A37" t="s">
        <v>724</v>
      </c>
      <c r="B37" t="b">
        <v>0</v>
      </c>
      <c r="C37" t="s">
        <v>359</v>
      </c>
      <c r="D37" s="2" t="s">
        <v>915</v>
      </c>
      <c r="E37">
        <v>0</v>
      </c>
      <c r="F37" t="s">
        <v>696</v>
      </c>
      <c r="G37" t="s">
        <v>499</v>
      </c>
      <c r="H37" t="s">
        <v>499</v>
      </c>
      <c r="I37" s="2" t="s">
        <v>495</v>
      </c>
      <c r="J37">
        <v>0</v>
      </c>
      <c r="L37">
        <v>5</v>
      </c>
      <c r="P37" t="b">
        <v>0</v>
      </c>
      <c r="Q37" s="12"/>
    </row>
    <row r="38" spans="1:17">
      <c r="A38" t="s">
        <v>724</v>
      </c>
      <c r="B38" t="b">
        <v>0</v>
      </c>
      <c r="C38" t="s">
        <v>359</v>
      </c>
      <c r="D38" s="2" t="s">
        <v>725</v>
      </c>
      <c r="E38">
        <v>1</v>
      </c>
      <c r="F38" t="s">
        <v>696</v>
      </c>
      <c r="G38" t="s">
        <v>499</v>
      </c>
      <c r="H38" t="s">
        <v>499</v>
      </c>
      <c r="I38" s="2" t="s">
        <v>495</v>
      </c>
      <c r="J38">
        <v>0</v>
      </c>
      <c r="L38">
        <v>5</v>
      </c>
      <c r="P38" t="b">
        <v>0</v>
      </c>
      <c r="Q38" s="12"/>
    </row>
    <row r="39" spans="1:17">
      <c r="A39" t="s">
        <v>909</v>
      </c>
      <c r="B39" t="b">
        <v>0</v>
      </c>
      <c r="C39" t="s">
        <v>359</v>
      </c>
      <c r="D39" t="s">
        <v>804</v>
      </c>
      <c r="E39">
        <v>0</v>
      </c>
      <c r="F39" t="s">
        <v>804</v>
      </c>
      <c r="G39" t="s">
        <v>804</v>
      </c>
      <c r="H39" t="s">
        <v>804</v>
      </c>
      <c r="I39" t="s">
        <v>804</v>
      </c>
      <c r="L39">
        <v>2</v>
      </c>
      <c r="M39" s="12"/>
      <c r="P39" t="b">
        <v>0</v>
      </c>
      <c r="Q39"/>
    </row>
    <row r="40" spans="1:17">
      <c r="A40" t="s">
        <v>913</v>
      </c>
      <c r="B40" t="b">
        <v>0</v>
      </c>
      <c r="C40" t="s">
        <v>359</v>
      </c>
      <c r="D40" s="2"/>
      <c r="E40">
        <v>0</v>
      </c>
      <c r="F40" s="2" t="s">
        <v>914</v>
      </c>
      <c r="G40" s="2" t="s">
        <v>914</v>
      </c>
      <c r="H40" s="2" t="s">
        <v>914</v>
      </c>
      <c r="I40" s="2" t="s">
        <v>914</v>
      </c>
      <c r="L40">
        <v>5</v>
      </c>
      <c r="P40" t="b">
        <v>0</v>
      </c>
      <c r="Q40" s="12"/>
    </row>
    <row r="41" spans="1:17" ht="24" customHeight="1">
      <c r="A41" t="s">
        <v>727</v>
      </c>
      <c r="B41" t="b">
        <v>0</v>
      </c>
      <c r="C41" t="s">
        <v>727</v>
      </c>
      <c r="D41" s="2" t="s">
        <v>728</v>
      </c>
      <c r="E41">
        <v>0</v>
      </c>
      <c r="F41" t="s">
        <v>696</v>
      </c>
      <c r="G41" t="s">
        <v>499</v>
      </c>
      <c r="H41" t="s">
        <v>499</v>
      </c>
      <c r="I41" s="2" t="s">
        <v>495</v>
      </c>
      <c r="J41">
        <v>0</v>
      </c>
      <c r="P41" t="b">
        <v>0</v>
      </c>
      <c r="Q41" s="12"/>
    </row>
    <row r="42" spans="1:17" ht="24" customHeight="1">
      <c r="A42" t="s">
        <v>727</v>
      </c>
      <c r="B42" t="b">
        <v>0</v>
      </c>
      <c r="C42" t="s">
        <v>727</v>
      </c>
      <c r="D42" t="s">
        <v>729</v>
      </c>
      <c r="E42">
        <v>1</v>
      </c>
      <c r="F42" t="s">
        <v>730</v>
      </c>
      <c r="G42" t="s">
        <v>499</v>
      </c>
      <c r="H42" t="s">
        <v>731</v>
      </c>
      <c r="I42" t="s">
        <v>731</v>
      </c>
      <c r="N42" t="s">
        <v>510</v>
      </c>
      <c r="O42" t="b">
        <v>1</v>
      </c>
      <c r="P42" t="b">
        <v>0</v>
      </c>
      <c r="Q42" t="s">
        <v>727</v>
      </c>
    </row>
    <row r="43" spans="1:17">
      <c r="A43" t="s">
        <v>1319</v>
      </c>
      <c r="B43" t="b">
        <v>0</v>
      </c>
      <c r="C43" t="s">
        <v>727</v>
      </c>
      <c r="D43" s="2" t="s">
        <v>742</v>
      </c>
      <c r="E43">
        <v>0</v>
      </c>
      <c r="F43" t="s">
        <v>474</v>
      </c>
      <c r="G43" t="s">
        <v>473</v>
      </c>
      <c r="H43" t="s">
        <v>473</v>
      </c>
      <c r="I43" s="2" t="s">
        <v>494</v>
      </c>
      <c r="K43" t="s">
        <v>918</v>
      </c>
      <c r="P43" t="b">
        <v>1</v>
      </c>
      <c r="Q43" s="12" t="s">
        <v>631</v>
      </c>
    </row>
    <row r="44" spans="1:17">
      <c r="A44" t="s">
        <v>862</v>
      </c>
      <c r="B44" t="b">
        <v>0</v>
      </c>
      <c r="C44" t="s">
        <v>727</v>
      </c>
      <c r="D44" s="2" t="s">
        <v>750</v>
      </c>
      <c r="E44">
        <v>0</v>
      </c>
      <c r="F44" t="s">
        <v>474</v>
      </c>
      <c r="G44" t="s">
        <v>364</v>
      </c>
      <c r="H44" t="s">
        <v>364</v>
      </c>
      <c r="I44" t="s">
        <v>364</v>
      </c>
      <c r="M44" t="s">
        <v>905</v>
      </c>
      <c r="P44" t="b">
        <v>0</v>
      </c>
      <c r="Q44" s="12" t="s">
        <v>871</v>
      </c>
    </row>
    <row r="45" spans="1:17">
      <c r="A45" t="s">
        <v>735</v>
      </c>
      <c r="B45" t="b">
        <v>0</v>
      </c>
      <c r="C45" t="s">
        <v>727</v>
      </c>
      <c r="D45" s="2" t="s">
        <v>743</v>
      </c>
      <c r="E45">
        <v>0</v>
      </c>
      <c r="F45" t="s">
        <v>474</v>
      </c>
      <c r="G45" t="s">
        <v>473</v>
      </c>
      <c r="H45" t="s">
        <v>473</v>
      </c>
      <c r="I45" s="2" t="s">
        <v>494</v>
      </c>
      <c r="K45" t="s">
        <v>918</v>
      </c>
      <c r="P45" t="b">
        <v>0</v>
      </c>
      <c r="Q45" s="12" t="s">
        <v>631</v>
      </c>
    </row>
    <row r="46" spans="1:17">
      <c r="A46" t="s">
        <v>863</v>
      </c>
      <c r="B46" t="b">
        <v>0</v>
      </c>
      <c r="C46" t="s">
        <v>727</v>
      </c>
      <c r="D46" s="2" t="s">
        <v>751</v>
      </c>
      <c r="E46">
        <v>0</v>
      </c>
      <c r="F46" t="s">
        <v>474</v>
      </c>
      <c r="G46" t="s">
        <v>364</v>
      </c>
      <c r="H46" t="s">
        <v>364</v>
      </c>
      <c r="I46" t="s">
        <v>364</v>
      </c>
      <c r="M46" t="s">
        <v>905</v>
      </c>
      <c r="P46" t="b">
        <v>0</v>
      </c>
      <c r="Q46" s="12" t="s">
        <v>871</v>
      </c>
    </row>
    <row r="47" spans="1:17">
      <c r="A47" t="s">
        <v>1320</v>
      </c>
      <c r="B47" t="b">
        <v>0</v>
      </c>
      <c r="C47" t="s">
        <v>727</v>
      </c>
      <c r="D47" s="2" t="s">
        <v>745</v>
      </c>
      <c r="E47">
        <v>0</v>
      </c>
      <c r="F47" t="s">
        <v>474</v>
      </c>
      <c r="G47" t="s">
        <v>473</v>
      </c>
      <c r="H47" t="s">
        <v>473</v>
      </c>
      <c r="I47" s="2" t="s">
        <v>494</v>
      </c>
      <c r="K47" t="s">
        <v>918</v>
      </c>
      <c r="P47" t="b">
        <v>1</v>
      </c>
      <c r="Q47" s="12" t="s">
        <v>631</v>
      </c>
    </row>
    <row r="48" spans="1:17">
      <c r="A48" t="s">
        <v>865</v>
      </c>
      <c r="B48" t="b">
        <v>0</v>
      </c>
      <c r="C48" t="s">
        <v>727</v>
      </c>
      <c r="D48" s="2" t="s">
        <v>753</v>
      </c>
      <c r="E48">
        <v>0</v>
      </c>
      <c r="F48" t="s">
        <v>474</v>
      </c>
      <c r="G48" t="s">
        <v>364</v>
      </c>
      <c r="H48" t="s">
        <v>364</v>
      </c>
      <c r="I48" t="s">
        <v>364</v>
      </c>
      <c r="M48" t="s">
        <v>905</v>
      </c>
      <c r="P48" t="b">
        <v>0</v>
      </c>
      <c r="Q48" s="12" t="s">
        <v>871</v>
      </c>
    </row>
    <row r="49" spans="1:17">
      <c r="A49" s="6" t="s">
        <v>738</v>
      </c>
      <c r="B49" t="b">
        <v>0</v>
      </c>
      <c r="C49" t="s">
        <v>727</v>
      </c>
      <c r="D49" s="2" t="s">
        <v>746</v>
      </c>
      <c r="E49">
        <v>0</v>
      </c>
      <c r="F49" t="s">
        <v>474</v>
      </c>
      <c r="G49" t="s">
        <v>473</v>
      </c>
      <c r="H49" t="s">
        <v>473</v>
      </c>
      <c r="I49" s="2" t="s">
        <v>494</v>
      </c>
      <c r="K49" t="s">
        <v>918</v>
      </c>
      <c r="P49" t="b">
        <v>0</v>
      </c>
      <c r="Q49" s="12" t="s">
        <v>631</v>
      </c>
    </row>
    <row r="50" spans="1:17">
      <c r="A50" t="s">
        <v>866</v>
      </c>
      <c r="B50" t="b">
        <v>0</v>
      </c>
      <c r="C50" t="s">
        <v>727</v>
      </c>
      <c r="D50" s="2" t="s">
        <v>754</v>
      </c>
      <c r="E50">
        <v>0</v>
      </c>
      <c r="F50" t="s">
        <v>474</v>
      </c>
      <c r="G50" t="s">
        <v>364</v>
      </c>
      <c r="H50" t="s">
        <v>364</v>
      </c>
      <c r="I50" t="s">
        <v>364</v>
      </c>
      <c r="M50" t="s">
        <v>905</v>
      </c>
      <c r="P50" t="b">
        <v>0</v>
      </c>
      <c r="Q50" s="12" t="s">
        <v>871</v>
      </c>
    </row>
    <row r="51" spans="1:17">
      <c r="A51" t="s">
        <v>1321</v>
      </c>
      <c r="B51" t="b">
        <v>0</v>
      </c>
      <c r="C51" t="s">
        <v>727</v>
      </c>
      <c r="D51" s="2" t="s">
        <v>744</v>
      </c>
      <c r="E51">
        <v>0</v>
      </c>
      <c r="F51" t="s">
        <v>474</v>
      </c>
      <c r="G51" t="s">
        <v>473</v>
      </c>
      <c r="H51" t="s">
        <v>473</v>
      </c>
      <c r="I51" s="2" t="s">
        <v>494</v>
      </c>
      <c r="K51" t="s">
        <v>918</v>
      </c>
      <c r="P51" t="b">
        <v>1</v>
      </c>
      <c r="Q51" s="12" t="s">
        <v>631</v>
      </c>
    </row>
    <row r="52" spans="1:17">
      <c r="A52" t="s">
        <v>864</v>
      </c>
      <c r="B52" t="b">
        <v>0</v>
      </c>
      <c r="C52" t="s">
        <v>727</v>
      </c>
      <c r="D52" s="2" t="s">
        <v>752</v>
      </c>
      <c r="E52">
        <v>0</v>
      </c>
      <c r="F52" t="s">
        <v>474</v>
      </c>
      <c r="G52" t="s">
        <v>364</v>
      </c>
      <c r="H52" t="s">
        <v>364</v>
      </c>
      <c r="I52" t="s">
        <v>364</v>
      </c>
      <c r="M52" t="s">
        <v>905</v>
      </c>
      <c r="P52" t="b">
        <v>0</v>
      </c>
      <c r="Q52" s="12" t="s">
        <v>871</v>
      </c>
    </row>
    <row r="53" spans="1:17">
      <c r="A53" t="s">
        <v>1322</v>
      </c>
      <c r="B53" t="b">
        <v>0</v>
      </c>
      <c r="C53" t="s">
        <v>727</v>
      </c>
      <c r="D53" s="2" t="s">
        <v>739</v>
      </c>
      <c r="E53">
        <v>0</v>
      </c>
      <c r="F53" t="s">
        <v>474</v>
      </c>
      <c r="G53" t="s">
        <v>473</v>
      </c>
      <c r="H53" t="s">
        <v>473</v>
      </c>
      <c r="I53" s="2" t="s">
        <v>494</v>
      </c>
      <c r="K53" t="s">
        <v>918</v>
      </c>
      <c r="P53" t="b">
        <v>1</v>
      </c>
      <c r="Q53" s="12" t="s">
        <v>631</v>
      </c>
    </row>
    <row r="54" spans="1:17">
      <c r="A54" t="s">
        <v>859</v>
      </c>
      <c r="B54" t="b">
        <v>0</v>
      </c>
      <c r="C54" t="s">
        <v>727</v>
      </c>
      <c r="D54" s="2" t="s">
        <v>747</v>
      </c>
      <c r="E54">
        <v>0</v>
      </c>
      <c r="F54" t="s">
        <v>474</v>
      </c>
      <c r="G54" t="s">
        <v>364</v>
      </c>
      <c r="H54" t="s">
        <v>364</v>
      </c>
      <c r="I54" t="s">
        <v>364</v>
      </c>
      <c r="M54" t="s">
        <v>905</v>
      </c>
      <c r="P54" t="b">
        <v>0</v>
      </c>
      <c r="Q54" s="12" t="s">
        <v>871</v>
      </c>
    </row>
    <row r="55" spans="1:17">
      <c r="A55" t="s">
        <v>1323</v>
      </c>
      <c r="B55" t="b">
        <v>0</v>
      </c>
      <c r="C55" t="s">
        <v>727</v>
      </c>
      <c r="D55" s="2" t="s">
        <v>740</v>
      </c>
      <c r="E55">
        <v>0</v>
      </c>
      <c r="F55" t="s">
        <v>474</v>
      </c>
      <c r="G55" t="s">
        <v>473</v>
      </c>
      <c r="H55" t="s">
        <v>473</v>
      </c>
      <c r="I55" s="2" t="s">
        <v>494</v>
      </c>
      <c r="K55" t="s">
        <v>918</v>
      </c>
      <c r="P55" t="b">
        <v>1</v>
      </c>
      <c r="Q55" s="12" t="s">
        <v>631</v>
      </c>
    </row>
    <row r="56" spans="1:17">
      <c r="A56" t="s">
        <v>860</v>
      </c>
      <c r="B56" t="b">
        <v>0</v>
      </c>
      <c r="C56" t="s">
        <v>727</v>
      </c>
      <c r="D56" s="2" t="s">
        <v>748</v>
      </c>
      <c r="E56">
        <v>0</v>
      </c>
      <c r="F56" t="s">
        <v>474</v>
      </c>
      <c r="G56" t="s">
        <v>364</v>
      </c>
      <c r="H56" t="s">
        <v>364</v>
      </c>
      <c r="I56" t="s">
        <v>364</v>
      </c>
      <c r="M56" t="s">
        <v>905</v>
      </c>
      <c r="P56" t="b">
        <v>0</v>
      </c>
      <c r="Q56" s="12" t="s">
        <v>871</v>
      </c>
    </row>
    <row r="57" spans="1:17">
      <c r="A57" t="s">
        <v>1324</v>
      </c>
      <c r="B57" t="b">
        <v>0</v>
      </c>
      <c r="C57" t="s">
        <v>727</v>
      </c>
      <c r="D57" s="2" t="s">
        <v>741</v>
      </c>
      <c r="E57">
        <v>0</v>
      </c>
      <c r="F57" t="s">
        <v>474</v>
      </c>
      <c r="G57" t="s">
        <v>473</v>
      </c>
      <c r="H57" t="s">
        <v>473</v>
      </c>
      <c r="I57" s="2" t="s">
        <v>494</v>
      </c>
      <c r="K57" t="s">
        <v>918</v>
      </c>
      <c r="P57" t="b">
        <v>1</v>
      </c>
      <c r="Q57" s="12" t="s">
        <v>631</v>
      </c>
    </row>
    <row r="58" spans="1:17">
      <c r="A58" t="s">
        <v>861</v>
      </c>
      <c r="B58" t="b">
        <v>0</v>
      </c>
      <c r="C58" t="s">
        <v>727</v>
      </c>
      <c r="D58" s="2" t="s">
        <v>749</v>
      </c>
      <c r="E58">
        <v>0</v>
      </c>
      <c r="F58" t="s">
        <v>474</v>
      </c>
      <c r="G58" t="s">
        <v>364</v>
      </c>
      <c r="H58" t="s">
        <v>364</v>
      </c>
      <c r="I58" t="s">
        <v>364</v>
      </c>
      <c r="M58" t="s">
        <v>905</v>
      </c>
      <c r="P58" t="b">
        <v>0</v>
      </c>
      <c r="Q58" s="12" t="s">
        <v>871</v>
      </c>
    </row>
    <row r="59" spans="1:17">
      <c r="A59" t="s">
        <v>874</v>
      </c>
      <c r="B59" t="b">
        <v>0</v>
      </c>
      <c r="C59" t="s">
        <v>727</v>
      </c>
      <c r="D59" s="2" t="s">
        <v>915</v>
      </c>
      <c r="E59">
        <v>0</v>
      </c>
      <c r="F59" t="s">
        <v>696</v>
      </c>
      <c r="G59" t="s">
        <v>499</v>
      </c>
      <c r="H59" t="s">
        <v>499</v>
      </c>
      <c r="I59" s="2" t="s">
        <v>495</v>
      </c>
      <c r="J59">
        <v>4</v>
      </c>
      <c r="L59">
        <v>5</v>
      </c>
      <c r="P59" t="b">
        <v>0</v>
      </c>
      <c r="Q59" s="12"/>
    </row>
    <row r="60" spans="1:17">
      <c r="A60" t="s">
        <v>874</v>
      </c>
      <c r="B60" t="b">
        <v>0</v>
      </c>
      <c r="C60" t="s">
        <v>727</v>
      </c>
      <c r="D60" s="2" t="s">
        <v>716</v>
      </c>
      <c r="E60">
        <v>1</v>
      </c>
      <c r="F60" t="s">
        <v>696</v>
      </c>
      <c r="G60" t="s">
        <v>499</v>
      </c>
      <c r="H60" t="s">
        <v>499</v>
      </c>
      <c r="I60" s="2" t="s">
        <v>495</v>
      </c>
      <c r="J60">
        <v>0</v>
      </c>
      <c r="L60">
        <v>5</v>
      </c>
      <c r="P60" t="b">
        <v>0</v>
      </c>
      <c r="Q60" s="12"/>
    </row>
    <row r="61" spans="1:17">
      <c r="A61" t="s">
        <v>910</v>
      </c>
      <c r="B61" t="b">
        <v>0</v>
      </c>
      <c r="C61" t="s">
        <v>727</v>
      </c>
      <c r="D61" t="s">
        <v>804</v>
      </c>
      <c r="E61">
        <v>0</v>
      </c>
      <c r="F61" t="s">
        <v>804</v>
      </c>
      <c r="G61" t="s">
        <v>804</v>
      </c>
      <c r="H61" t="s">
        <v>804</v>
      </c>
      <c r="I61" t="s">
        <v>804</v>
      </c>
      <c r="L61">
        <v>2</v>
      </c>
      <c r="M61" s="12"/>
      <c r="P61" t="b">
        <v>0</v>
      </c>
      <c r="Q61"/>
    </row>
    <row r="62" spans="1:17">
      <c r="A62" t="s">
        <v>922</v>
      </c>
      <c r="B62" t="b">
        <v>0</v>
      </c>
      <c r="C62" t="s">
        <v>755</v>
      </c>
      <c r="D62" s="2"/>
      <c r="E62">
        <v>0</v>
      </c>
      <c r="F62" s="2" t="s">
        <v>914</v>
      </c>
      <c r="G62" s="2" t="s">
        <v>914</v>
      </c>
      <c r="H62" s="2" t="s">
        <v>914</v>
      </c>
      <c r="I62" s="2" t="s">
        <v>914</v>
      </c>
      <c r="P62" t="b">
        <v>0</v>
      </c>
      <c r="Q62" s="12"/>
    </row>
    <row r="63" spans="1:17" ht="24" customHeight="1">
      <c r="A63" t="s">
        <v>755</v>
      </c>
      <c r="B63" t="b">
        <v>0</v>
      </c>
      <c r="C63" t="s">
        <v>755</v>
      </c>
      <c r="D63" s="2" t="s">
        <v>728</v>
      </c>
      <c r="E63">
        <v>0</v>
      </c>
      <c r="F63" t="s">
        <v>696</v>
      </c>
      <c r="G63" t="s">
        <v>499</v>
      </c>
      <c r="H63" t="s">
        <v>499</v>
      </c>
      <c r="I63" s="2" t="s">
        <v>495</v>
      </c>
      <c r="J63">
        <v>0</v>
      </c>
      <c r="L63">
        <v>5</v>
      </c>
      <c r="P63" t="b">
        <v>0</v>
      </c>
      <c r="Q63" s="12"/>
    </row>
    <row r="64" spans="1:17" ht="24" customHeight="1">
      <c r="A64" t="s">
        <v>755</v>
      </c>
      <c r="B64" t="b">
        <v>0</v>
      </c>
      <c r="C64" t="s">
        <v>755</v>
      </c>
      <c r="D64" t="s">
        <v>729</v>
      </c>
      <c r="E64">
        <v>1</v>
      </c>
      <c r="F64" t="s">
        <v>730</v>
      </c>
      <c r="G64" t="s">
        <v>499</v>
      </c>
      <c r="H64" t="s">
        <v>731</v>
      </c>
      <c r="I64" t="s">
        <v>731</v>
      </c>
      <c r="N64" t="s">
        <v>510</v>
      </c>
      <c r="O64" t="b">
        <v>1</v>
      </c>
      <c r="P64" t="b">
        <v>0</v>
      </c>
      <c r="Q64" t="s">
        <v>755</v>
      </c>
    </row>
    <row r="65" spans="1:17">
      <c r="A65" s="28" t="s">
        <v>575</v>
      </c>
      <c r="B65" t="b">
        <v>0</v>
      </c>
      <c r="C65" t="s">
        <v>755</v>
      </c>
      <c r="D65" s="2" t="s">
        <v>756</v>
      </c>
      <c r="E65">
        <v>0</v>
      </c>
      <c r="F65" t="s">
        <v>474</v>
      </c>
      <c r="G65" t="s">
        <v>473</v>
      </c>
      <c r="H65" t="s">
        <v>473</v>
      </c>
      <c r="I65" s="2" t="s">
        <v>494</v>
      </c>
      <c r="P65" t="b">
        <v>1</v>
      </c>
      <c r="Q65" s="12" t="s">
        <v>631</v>
      </c>
    </row>
    <row r="66" spans="1:17">
      <c r="A66" s="28" t="s">
        <v>576</v>
      </c>
      <c r="B66" t="b">
        <v>0</v>
      </c>
      <c r="C66" t="s">
        <v>755</v>
      </c>
      <c r="D66" s="2" t="s">
        <v>757</v>
      </c>
      <c r="E66">
        <v>0</v>
      </c>
      <c r="F66" t="s">
        <v>474</v>
      </c>
      <c r="G66" t="s">
        <v>473</v>
      </c>
      <c r="H66" t="s">
        <v>473</v>
      </c>
      <c r="I66" s="2" t="s">
        <v>494</v>
      </c>
      <c r="P66" t="b">
        <v>1</v>
      </c>
      <c r="Q66" s="12" t="s">
        <v>631</v>
      </c>
    </row>
    <row r="67" spans="1:17">
      <c r="A67" s="28" t="s">
        <v>577</v>
      </c>
      <c r="B67" t="b">
        <v>0</v>
      </c>
      <c r="C67" t="s">
        <v>755</v>
      </c>
      <c r="D67" s="2" t="s">
        <v>758</v>
      </c>
      <c r="E67">
        <v>0</v>
      </c>
      <c r="F67" t="s">
        <v>474</v>
      </c>
      <c r="G67" t="s">
        <v>473</v>
      </c>
      <c r="H67" t="s">
        <v>473</v>
      </c>
      <c r="I67" s="2" t="s">
        <v>494</v>
      </c>
      <c r="P67" t="b">
        <v>1</v>
      </c>
      <c r="Q67" s="12" t="s">
        <v>631</v>
      </c>
    </row>
    <row r="68" spans="1:17">
      <c r="A68" s="28" t="s">
        <v>578</v>
      </c>
      <c r="B68" t="b">
        <v>0</v>
      </c>
      <c r="C68" t="s">
        <v>755</v>
      </c>
      <c r="D68" s="2" t="s">
        <v>759</v>
      </c>
      <c r="E68">
        <v>0</v>
      </c>
      <c r="F68" t="s">
        <v>474</v>
      </c>
      <c r="G68" t="s">
        <v>473</v>
      </c>
      <c r="H68" t="s">
        <v>473</v>
      </c>
      <c r="I68" s="2" t="s">
        <v>494</v>
      </c>
      <c r="P68" t="b">
        <v>1</v>
      </c>
      <c r="Q68" s="12" t="s">
        <v>631</v>
      </c>
    </row>
    <row r="69" spans="1:17">
      <c r="A69" s="28" t="s">
        <v>579</v>
      </c>
      <c r="B69" t="b">
        <v>0</v>
      </c>
      <c r="C69" t="s">
        <v>755</v>
      </c>
      <c r="D69" s="2" t="s">
        <v>760</v>
      </c>
      <c r="E69">
        <v>0</v>
      </c>
      <c r="F69" t="s">
        <v>474</v>
      </c>
      <c r="G69" t="s">
        <v>473</v>
      </c>
      <c r="H69" t="s">
        <v>473</v>
      </c>
      <c r="I69" s="2" t="s">
        <v>494</v>
      </c>
      <c r="P69" t="b">
        <v>1</v>
      </c>
      <c r="Q69" s="12" t="s">
        <v>631</v>
      </c>
    </row>
    <row r="70" spans="1:17">
      <c r="A70" t="s">
        <v>580</v>
      </c>
      <c r="B70" t="b">
        <v>0</v>
      </c>
      <c r="C70" t="s">
        <v>755</v>
      </c>
      <c r="D70" s="2" t="s">
        <v>761</v>
      </c>
      <c r="E70">
        <v>0</v>
      </c>
      <c r="F70" t="s">
        <v>474</v>
      </c>
      <c r="G70" t="s">
        <v>473</v>
      </c>
      <c r="H70" t="s">
        <v>473</v>
      </c>
      <c r="I70" s="2" t="s">
        <v>494</v>
      </c>
      <c r="P70" t="b">
        <v>1</v>
      </c>
      <c r="Q70" s="12" t="s">
        <v>631</v>
      </c>
    </row>
    <row r="71" spans="1:17">
      <c r="A71" t="s">
        <v>581</v>
      </c>
      <c r="B71" t="b">
        <v>0</v>
      </c>
      <c r="C71" t="s">
        <v>755</v>
      </c>
      <c r="D71" s="2" t="s">
        <v>762</v>
      </c>
      <c r="E71">
        <v>0</v>
      </c>
      <c r="F71" t="s">
        <v>474</v>
      </c>
      <c r="G71" t="s">
        <v>473</v>
      </c>
      <c r="H71" t="s">
        <v>473</v>
      </c>
      <c r="I71" s="2" t="s">
        <v>494</v>
      </c>
      <c r="P71" t="b">
        <v>1</v>
      </c>
      <c r="Q71" s="12" t="s">
        <v>631</v>
      </c>
    </row>
    <row r="72" spans="1:17">
      <c r="A72" t="s">
        <v>582</v>
      </c>
      <c r="B72" t="b">
        <v>0</v>
      </c>
      <c r="C72" t="s">
        <v>755</v>
      </c>
      <c r="D72" s="2" t="s">
        <v>763</v>
      </c>
      <c r="E72">
        <v>0</v>
      </c>
      <c r="F72" t="s">
        <v>474</v>
      </c>
      <c r="G72" t="s">
        <v>473</v>
      </c>
      <c r="H72" t="s">
        <v>473</v>
      </c>
      <c r="I72" s="2" t="s">
        <v>494</v>
      </c>
      <c r="P72" t="b">
        <v>1</v>
      </c>
      <c r="Q72" s="12" t="s">
        <v>631</v>
      </c>
    </row>
    <row r="73" spans="1:17">
      <c r="A73" t="s">
        <v>1212</v>
      </c>
      <c r="B73" t="b">
        <v>0</v>
      </c>
      <c r="C73" t="s">
        <v>755</v>
      </c>
      <c r="D73" s="2" t="s">
        <v>764</v>
      </c>
      <c r="E73">
        <v>0</v>
      </c>
      <c r="F73" t="s">
        <v>474</v>
      </c>
      <c r="G73" t="s">
        <v>473</v>
      </c>
      <c r="H73" t="s">
        <v>473</v>
      </c>
      <c r="I73" s="2" t="s">
        <v>494</v>
      </c>
      <c r="P73" t="b">
        <v>1</v>
      </c>
      <c r="Q73" s="12" t="s">
        <v>631</v>
      </c>
    </row>
    <row r="74" spans="1:17">
      <c r="A74" t="s">
        <v>583</v>
      </c>
      <c r="B74" t="b">
        <v>0</v>
      </c>
      <c r="C74" t="s">
        <v>755</v>
      </c>
      <c r="D74" s="2" t="s">
        <v>765</v>
      </c>
      <c r="E74">
        <v>0</v>
      </c>
      <c r="F74" t="s">
        <v>474</v>
      </c>
      <c r="G74" t="s">
        <v>473</v>
      </c>
      <c r="H74" t="s">
        <v>473</v>
      </c>
      <c r="I74" s="2" t="s">
        <v>494</v>
      </c>
      <c r="P74" t="b">
        <v>1</v>
      </c>
      <c r="Q74" s="12" t="s">
        <v>631</v>
      </c>
    </row>
    <row r="75" spans="1:17">
      <c r="A75" t="s">
        <v>584</v>
      </c>
      <c r="B75" t="b">
        <v>0</v>
      </c>
      <c r="C75" t="s">
        <v>755</v>
      </c>
      <c r="D75" s="2" t="s">
        <v>766</v>
      </c>
      <c r="E75">
        <v>0</v>
      </c>
      <c r="F75" t="s">
        <v>474</v>
      </c>
      <c r="G75" t="s">
        <v>473</v>
      </c>
      <c r="H75" t="s">
        <v>473</v>
      </c>
      <c r="I75" s="2" t="s">
        <v>494</v>
      </c>
      <c r="P75" t="b">
        <v>1</v>
      </c>
      <c r="Q75" s="12" t="s">
        <v>631</v>
      </c>
    </row>
    <row r="76" spans="1:17">
      <c r="A76" t="s">
        <v>1213</v>
      </c>
      <c r="B76" t="b">
        <v>0</v>
      </c>
      <c r="C76" t="s">
        <v>755</v>
      </c>
      <c r="D76" s="2" t="s">
        <v>767</v>
      </c>
      <c r="E76">
        <v>0</v>
      </c>
      <c r="F76" t="s">
        <v>474</v>
      </c>
      <c r="G76" t="s">
        <v>473</v>
      </c>
      <c r="H76" t="s">
        <v>473</v>
      </c>
      <c r="I76" s="2" t="s">
        <v>494</v>
      </c>
      <c r="P76" t="b">
        <v>1</v>
      </c>
      <c r="Q76" s="12" t="s">
        <v>631</v>
      </c>
    </row>
    <row r="77" spans="1:17">
      <c r="A77" t="s">
        <v>585</v>
      </c>
      <c r="B77" t="b">
        <v>0</v>
      </c>
      <c r="C77" t="s">
        <v>755</v>
      </c>
      <c r="D77" s="2" t="s">
        <v>768</v>
      </c>
      <c r="E77">
        <v>0</v>
      </c>
      <c r="F77" t="s">
        <v>474</v>
      </c>
      <c r="G77" t="s">
        <v>473</v>
      </c>
      <c r="H77" t="s">
        <v>473</v>
      </c>
      <c r="I77" s="2" t="s">
        <v>494</v>
      </c>
      <c r="P77" t="b">
        <v>1</v>
      </c>
      <c r="Q77" s="12" t="s">
        <v>631</v>
      </c>
    </row>
    <row r="78" spans="1:17">
      <c r="A78" t="s">
        <v>586</v>
      </c>
      <c r="B78" t="b">
        <v>0</v>
      </c>
      <c r="C78" t="s">
        <v>755</v>
      </c>
      <c r="D78" s="2" t="s">
        <v>769</v>
      </c>
      <c r="E78">
        <v>0</v>
      </c>
      <c r="F78" t="s">
        <v>474</v>
      </c>
      <c r="G78" t="s">
        <v>473</v>
      </c>
      <c r="H78" t="s">
        <v>473</v>
      </c>
      <c r="I78" s="2" t="s">
        <v>494</v>
      </c>
      <c r="P78" t="b">
        <v>1</v>
      </c>
      <c r="Q78" s="12" t="s">
        <v>631</v>
      </c>
    </row>
    <row r="79" spans="1:17">
      <c r="A79" t="s">
        <v>587</v>
      </c>
      <c r="B79" t="b">
        <v>0</v>
      </c>
      <c r="C79" t="s">
        <v>755</v>
      </c>
      <c r="D79" s="2" t="s">
        <v>770</v>
      </c>
      <c r="E79">
        <v>0</v>
      </c>
      <c r="F79" t="s">
        <v>474</v>
      </c>
      <c r="G79" t="s">
        <v>473</v>
      </c>
      <c r="H79" t="s">
        <v>473</v>
      </c>
      <c r="I79" s="2" t="s">
        <v>494</v>
      </c>
      <c r="P79" t="b">
        <v>1</v>
      </c>
      <c r="Q79" s="12" t="s">
        <v>631</v>
      </c>
    </row>
    <row r="80" spans="1:17">
      <c r="A80" t="s">
        <v>588</v>
      </c>
      <c r="B80" t="b">
        <v>0</v>
      </c>
      <c r="C80" t="s">
        <v>755</v>
      </c>
      <c r="D80" s="2" t="s">
        <v>771</v>
      </c>
      <c r="E80">
        <v>0</v>
      </c>
      <c r="F80" t="s">
        <v>474</v>
      </c>
      <c r="G80" t="s">
        <v>473</v>
      </c>
      <c r="H80" t="s">
        <v>473</v>
      </c>
      <c r="I80" s="2" t="s">
        <v>494</v>
      </c>
      <c r="P80" t="b">
        <v>1</v>
      </c>
      <c r="Q80" s="12" t="s">
        <v>631</v>
      </c>
    </row>
    <row r="81" spans="1:17">
      <c r="A81" t="s">
        <v>589</v>
      </c>
      <c r="B81" t="b">
        <v>0</v>
      </c>
      <c r="C81" t="s">
        <v>755</v>
      </c>
      <c r="D81" s="2" t="s">
        <v>772</v>
      </c>
      <c r="E81">
        <v>0</v>
      </c>
      <c r="F81" t="s">
        <v>474</v>
      </c>
      <c r="G81" t="s">
        <v>473</v>
      </c>
      <c r="H81" t="s">
        <v>473</v>
      </c>
      <c r="I81" s="2" t="s">
        <v>494</v>
      </c>
      <c r="P81" t="b">
        <v>1</v>
      </c>
      <c r="Q81" s="12" t="s">
        <v>631</v>
      </c>
    </row>
    <row r="82" spans="1:17">
      <c r="A82" t="s">
        <v>1214</v>
      </c>
      <c r="B82" t="b">
        <v>0</v>
      </c>
      <c r="C82" t="s">
        <v>755</v>
      </c>
      <c r="D82" s="2" t="s">
        <v>773</v>
      </c>
      <c r="E82">
        <v>0</v>
      </c>
      <c r="F82" t="s">
        <v>474</v>
      </c>
      <c r="G82" t="s">
        <v>473</v>
      </c>
      <c r="H82" t="s">
        <v>473</v>
      </c>
      <c r="I82" s="2" t="s">
        <v>494</v>
      </c>
      <c r="P82" t="b">
        <v>1</v>
      </c>
      <c r="Q82" s="12" t="s">
        <v>631</v>
      </c>
    </row>
    <row r="83" spans="1:17">
      <c r="A83" t="s">
        <v>590</v>
      </c>
      <c r="B83" t="b">
        <v>0</v>
      </c>
      <c r="C83" t="s">
        <v>755</v>
      </c>
      <c r="D83" s="2" t="s">
        <v>774</v>
      </c>
      <c r="E83">
        <v>0</v>
      </c>
      <c r="F83" t="s">
        <v>474</v>
      </c>
      <c r="G83" t="s">
        <v>473</v>
      </c>
      <c r="H83" t="s">
        <v>473</v>
      </c>
      <c r="I83" s="2" t="s">
        <v>494</v>
      </c>
      <c r="P83" t="b">
        <v>1</v>
      </c>
      <c r="Q83" s="12" t="s">
        <v>631</v>
      </c>
    </row>
    <row r="84" spans="1:17">
      <c r="A84" t="s">
        <v>1215</v>
      </c>
      <c r="B84" t="b">
        <v>0</v>
      </c>
      <c r="C84" t="s">
        <v>727</v>
      </c>
      <c r="D84" s="2" t="s">
        <v>775</v>
      </c>
      <c r="E84">
        <v>0</v>
      </c>
      <c r="F84" t="s">
        <v>474</v>
      </c>
      <c r="G84" t="s">
        <v>364</v>
      </c>
      <c r="H84" t="s">
        <v>364</v>
      </c>
      <c r="I84" t="s">
        <v>364</v>
      </c>
      <c r="M84" t="s">
        <v>905</v>
      </c>
      <c r="P84" t="b">
        <v>0</v>
      </c>
      <c r="Q84" s="12" t="s">
        <v>871</v>
      </c>
    </row>
    <row r="85" spans="1:17">
      <c r="A85" t="s">
        <v>1216</v>
      </c>
      <c r="B85" t="b">
        <v>0</v>
      </c>
      <c r="C85" t="s">
        <v>727</v>
      </c>
      <c r="D85" s="2" t="s">
        <v>776</v>
      </c>
      <c r="E85">
        <v>0</v>
      </c>
      <c r="F85" t="s">
        <v>474</v>
      </c>
      <c r="G85" t="s">
        <v>364</v>
      </c>
      <c r="H85" t="s">
        <v>364</v>
      </c>
      <c r="I85" t="s">
        <v>364</v>
      </c>
      <c r="M85" t="s">
        <v>905</v>
      </c>
      <c r="P85" t="b">
        <v>0</v>
      </c>
      <c r="Q85" s="12" t="s">
        <v>871</v>
      </c>
    </row>
    <row r="86" spans="1:17">
      <c r="A86" t="s">
        <v>869</v>
      </c>
      <c r="B86" t="b">
        <v>0</v>
      </c>
      <c r="C86" t="s">
        <v>727</v>
      </c>
      <c r="D86" s="2" t="s">
        <v>777</v>
      </c>
      <c r="E86">
        <v>0</v>
      </c>
      <c r="F86" t="s">
        <v>474</v>
      </c>
      <c r="G86" t="s">
        <v>364</v>
      </c>
      <c r="H86" t="s">
        <v>364</v>
      </c>
      <c r="I86" t="s">
        <v>364</v>
      </c>
      <c r="M86" t="s">
        <v>905</v>
      </c>
      <c r="P86" t="b">
        <v>0</v>
      </c>
      <c r="Q86" s="12" t="s">
        <v>871</v>
      </c>
    </row>
    <row r="87" spans="1:17">
      <c r="A87" t="s">
        <v>916</v>
      </c>
      <c r="B87" t="b">
        <v>0</v>
      </c>
      <c r="C87" t="s">
        <v>755</v>
      </c>
      <c r="D87" s="2" t="s">
        <v>915</v>
      </c>
      <c r="E87">
        <v>0</v>
      </c>
      <c r="F87" t="s">
        <v>696</v>
      </c>
      <c r="G87" t="s">
        <v>499</v>
      </c>
      <c r="H87" t="s">
        <v>499</v>
      </c>
      <c r="I87" s="2" t="s">
        <v>495</v>
      </c>
      <c r="J87">
        <v>7</v>
      </c>
      <c r="P87" t="b">
        <v>0</v>
      </c>
      <c r="Q87" s="12"/>
    </row>
    <row r="88" spans="1:17">
      <c r="A88" t="s">
        <v>916</v>
      </c>
      <c r="B88" t="b">
        <v>0</v>
      </c>
      <c r="C88" t="s">
        <v>755</v>
      </c>
      <c r="D88" s="2" t="s">
        <v>716</v>
      </c>
      <c r="E88">
        <v>1</v>
      </c>
      <c r="F88" t="s">
        <v>696</v>
      </c>
      <c r="G88" t="s">
        <v>499</v>
      </c>
      <c r="H88" t="s">
        <v>499</v>
      </c>
      <c r="I88" s="2" t="s">
        <v>495</v>
      </c>
      <c r="J88">
        <v>0</v>
      </c>
      <c r="P88" t="b">
        <v>0</v>
      </c>
      <c r="Q88" s="12"/>
    </row>
    <row r="89" spans="1:17">
      <c r="A89" t="s">
        <v>923</v>
      </c>
      <c r="B89" t="b">
        <v>0</v>
      </c>
      <c r="C89" t="s">
        <v>755</v>
      </c>
      <c r="D89" t="s">
        <v>804</v>
      </c>
      <c r="E89">
        <v>0</v>
      </c>
      <c r="F89" t="s">
        <v>804</v>
      </c>
      <c r="G89" t="s">
        <v>804</v>
      </c>
      <c r="H89" t="s">
        <v>804</v>
      </c>
      <c r="I89" t="s">
        <v>804</v>
      </c>
      <c r="L89">
        <v>2</v>
      </c>
      <c r="M89" s="12"/>
      <c r="P89" t="b">
        <v>0</v>
      </c>
      <c r="Q89"/>
    </row>
    <row r="90" spans="1:17">
      <c r="A90" t="s">
        <v>778</v>
      </c>
      <c r="B90" t="b">
        <v>0</v>
      </c>
      <c r="C90" t="s">
        <v>778</v>
      </c>
      <c r="D90" s="2" t="s">
        <v>728</v>
      </c>
      <c r="E90">
        <v>0</v>
      </c>
      <c r="F90" t="s">
        <v>696</v>
      </c>
      <c r="G90" t="s">
        <v>499</v>
      </c>
      <c r="H90" t="s">
        <v>499</v>
      </c>
      <c r="I90" s="2" t="s">
        <v>495</v>
      </c>
      <c r="J90">
        <v>0</v>
      </c>
      <c r="L90">
        <v>5</v>
      </c>
      <c r="P90" t="b">
        <v>0</v>
      </c>
      <c r="Q90" s="12"/>
    </row>
    <row r="91" spans="1:17">
      <c r="A91" t="s">
        <v>778</v>
      </c>
      <c r="B91" t="b">
        <v>0</v>
      </c>
      <c r="C91" t="s">
        <v>778</v>
      </c>
      <c r="D91" t="s">
        <v>729</v>
      </c>
      <c r="E91">
        <v>1</v>
      </c>
      <c r="F91" t="s">
        <v>730</v>
      </c>
      <c r="G91" t="s">
        <v>499</v>
      </c>
      <c r="H91" t="s">
        <v>731</v>
      </c>
      <c r="I91" t="s">
        <v>731</v>
      </c>
      <c r="N91" t="s">
        <v>510</v>
      </c>
      <c r="O91" t="b">
        <v>1</v>
      </c>
      <c r="P91" t="b">
        <v>0</v>
      </c>
      <c r="Q91" t="s">
        <v>778</v>
      </c>
    </row>
    <row r="92" spans="1:17">
      <c r="A92" t="s">
        <v>545</v>
      </c>
      <c r="B92" t="b">
        <v>0</v>
      </c>
      <c r="C92" t="s">
        <v>778</v>
      </c>
      <c r="D92" s="2" t="s">
        <v>780</v>
      </c>
      <c r="E92">
        <v>0</v>
      </c>
      <c r="F92" t="s">
        <v>474</v>
      </c>
      <c r="G92" t="s">
        <v>473</v>
      </c>
      <c r="H92" t="s">
        <v>473</v>
      </c>
      <c r="I92" s="2" t="s">
        <v>494</v>
      </c>
      <c r="P92" t="b">
        <v>1</v>
      </c>
      <c r="Q92" s="12" t="s">
        <v>631</v>
      </c>
    </row>
    <row r="93" spans="1:17">
      <c r="A93" t="s">
        <v>544</v>
      </c>
      <c r="B93" t="b">
        <v>0</v>
      </c>
      <c r="C93" t="s">
        <v>778</v>
      </c>
      <c r="D93" s="2" t="s">
        <v>779</v>
      </c>
      <c r="E93">
        <v>0</v>
      </c>
      <c r="F93" t="s">
        <v>474</v>
      </c>
      <c r="G93" t="s">
        <v>473</v>
      </c>
      <c r="H93" t="s">
        <v>473</v>
      </c>
      <c r="I93" s="2" t="s">
        <v>494</v>
      </c>
      <c r="P93" t="b">
        <v>1</v>
      </c>
      <c r="Q93" s="12" t="s">
        <v>631</v>
      </c>
    </row>
    <row r="94" spans="1:17">
      <c r="A94" t="s">
        <v>781</v>
      </c>
      <c r="B94" t="b">
        <v>0</v>
      </c>
      <c r="C94" t="s">
        <v>778</v>
      </c>
      <c r="D94" s="2" t="s">
        <v>915</v>
      </c>
      <c r="E94">
        <v>0</v>
      </c>
      <c r="F94" t="s">
        <v>696</v>
      </c>
      <c r="G94" t="s">
        <v>499</v>
      </c>
      <c r="H94" t="s">
        <v>499</v>
      </c>
      <c r="I94" s="2" t="s">
        <v>495</v>
      </c>
      <c r="J94">
        <v>8</v>
      </c>
      <c r="P94" t="b">
        <v>0</v>
      </c>
      <c r="Q94" s="12"/>
    </row>
    <row r="95" spans="1:17">
      <c r="A95" t="s">
        <v>781</v>
      </c>
      <c r="B95" t="b">
        <v>0</v>
      </c>
      <c r="C95" t="s">
        <v>778</v>
      </c>
      <c r="D95" s="2" t="s">
        <v>716</v>
      </c>
      <c r="E95">
        <v>1</v>
      </c>
      <c r="F95" t="s">
        <v>696</v>
      </c>
      <c r="G95" t="s">
        <v>499</v>
      </c>
      <c r="H95" t="s">
        <v>499</v>
      </c>
      <c r="I95" s="2" t="s">
        <v>495</v>
      </c>
      <c r="J95">
        <v>0</v>
      </c>
      <c r="P95" t="b">
        <v>0</v>
      </c>
      <c r="Q95" s="12"/>
    </row>
    <row r="96" spans="1:17">
      <c r="A96" t="s">
        <v>924</v>
      </c>
      <c r="B96" t="b">
        <v>0</v>
      </c>
      <c r="C96" t="s">
        <v>778</v>
      </c>
      <c r="D96" t="s">
        <v>804</v>
      </c>
      <c r="E96">
        <v>0</v>
      </c>
      <c r="F96" t="s">
        <v>804</v>
      </c>
      <c r="G96" t="s">
        <v>804</v>
      </c>
      <c r="H96" t="s">
        <v>804</v>
      </c>
      <c r="I96" t="s">
        <v>804</v>
      </c>
      <c r="L96">
        <v>2</v>
      </c>
      <c r="M96" s="12"/>
      <c r="P96" t="b">
        <v>0</v>
      </c>
      <c r="Q96"/>
    </row>
    <row r="97" spans="1:17">
      <c r="A97" t="s">
        <v>400</v>
      </c>
      <c r="B97" t="b">
        <v>0</v>
      </c>
      <c r="C97" t="s">
        <v>400</v>
      </c>
      <c r="D97" s="2" t="s">
        <v>728</v>
      </c>
      <c r="E97">
        <v>0</v>
      </c>
      <c r="F97" t="s">
        <v>696</v>
      </c>
      <c r="G97" t="s">
        <v>499</v>
      </c>
      <c r="H97" t="s">
        <v>499</v>
      </c>
      <c r="I97" s="2" t="s">
        <v>495</v>
      </c>
      <c r="J97">
        <v>0</v>
      </c>
      <c r="L97">
        <v>5</v>
      </c>
      <c r="P97" t="b">
        <v>0</v>
      </c>
    </row>
    <row r="98" spans="1:17" ht="16.5">
      <c r="A98" s="18" t="s">
        <v>400</v>
      </c>
      <c r="B98" t="b">
        <v>0</v>
      </c>
      <c r="C98" t="s">
        <v>400</v>
      </c>
      <c r="D98" t="s">
        <v>729</v>
      </c>
      <c r="E98">
        <v>1</v>
      </c>
      <c r="F98" t="s">
        <v>730</v>
      </c>
      <c r="G98" t="s">
        <v>499</v>
      </c>
      <c r="H98" t="s">
        <v>731</v>
      </c>
      <c r="I98" t="s">
        <v>731</v>
      </c>
      <c r="N98" t="s">
        <v>510</v>
      </c>
      <c r="O98" t="b">
        <v>1</v>
      </c>
      <c r="P98" t="b">
        <v>0</v>
      </c>
      <c r="Q98" t="s">
        <v>400</v>
      </c>
    </row>
    <row r="99" spans="1:17">
      <c r="A99" t="s">
        <v>547</v>
      </c>
      <c r="B99" t="b">
        <v>0</v>
      </c>
      <c r="C99" t="s">
        <v>400</v>
      </c>
      <c r="D99" s="2" t="s">
        <v>929</v>
      </c>
      <c r="E99">
        <v>0</v>
      </c>
      <c r="F99" t="s">
        <v>474</v>
      </c>
      <c r="G99" t="s">
        <v>473</v>
      </c>
      <c r="H99" t="s">
        <v>473</v>
      </c>
      <c r="I99" s="2" t="s">
        <v>494</v>
      </c>
      <c r="P99" t="b">
        <v>1</v>
      </c>
      <c r="Q99" s="20" t="s">
        <v>823</v>
      </c>
    </row>
    <row r="100" spans="1:17">
      <c r="A100" t="s">
        <v>402</v>
      </c>
      <c r="B100" t="b">
        <v>0</v>
      </c>
      <c r="C100" t="s">
        <v>400</v>
      </c>
      <c r="D100" s="2" t="s">
        <v>930</v>
      </c>
      <c r="E100">
        <v>0</v>
      </c>
      <c r="F100" t="s">
        <v>474</v>
      </c>
      <c r="G100" t="s">
        <v>364</v>
      </c>
      <c r="H100" t="s">
        <v>364</v>
      </c>
      <c r="I100" t="s">
        <v>364</v>
      </c>
      <c r="M100" t="s">
        <v>905</v>
      </c>
      <c r="P100" t="b">
        <v>0</v>
      </c>
      <c r="Q100" s="1" t="s">
        <v>597</v>
      </c>
    </row>
    <row r="101" spans="1:17">
      <c r="A101" t="s">
        <v>548</v>
      </c>
      <c r="B101" t="b">
        <v>0</v>
      </c>
      <c r="C101" t="s">
        <v>400</v>
      </c>
      <c r="D101" s="2" t="s">
        <v>931</v>
      </c>
      <c r="E101">
        <v>0</v>
      </c>
      <c r="F101" t="s">
        <v>474</v>
      </c>
      <c r="G101" t="s">
        <v>364</v>
      </c>
      <c r="H101" t="s">
        <v>364</v>
      </c>
      <c r="I101" t="s">
        <v>364</v>
      </c>
      <c r="M101" t="s">
        <v>905</v>
      </c>
      <c r="P101" t="b">
        <v>0</v>
      </c>
      <c r="Q101" s="1" t="s">
        <v>597</v>
      </c>
    </row>
    <row r="102" spans="1:17">
      <c r="A102" t="s">
        <v>549</v>
      </c>
      <c r="B102" t="b">
        <v>0</v>
      </c>
      <c r="C102" t="s">
        <v>400</v>
      </c>
      <c r="D102" s="2" t="s">
        <v>932</v>
      </c>
      <c r="E102">
        <v>0</v>
      </c>
      <c r="F102" t="s">
        <v>474</v>
      </c>
      <c r="G102" t="s">
        <v>364</v>
      </c>
      <c r="H102" t="s">
        <v>364</v>
      </c>
      <c r="I102" t="s">
        <v>364</v>
      </c>
      <c r="M102" t="s">
        <v>905</v>
      </c>
      <c r="P102" t="b">
        <v>0</v>
      </c>
      <c r="Q102" s="1" t="s">
        <v>597</v>
      </c>
    </row>
    <row r="103" spans="1:17">
      <c r="A103" t="s">
        <v>550</v>
      </c>
      <c r="B103" t="b">
        <v>0</v>
      </c>
      <c r="C103" t="s">
        <v>400</v>
      </c>
      <c r="D103" s="2" t="s">
        <v>933</v>
      </c>
      <c r="E103">
        <v>0</v>
      </c>
      <c r="F103" t="s">
        <v>474</v>
      </c>
      <c r="G103" t="s">
        <v>364</v>
      </c>
      <c r="H103" t="s">
        <v>364</v>
      </c>
      <c r="I103" t="s">
        <v>364</v>
      </c>
      <c r="M103" t="s">
        <v>905</v>
      </c>
      <c r="P103" t="b">
        <v>0</v>
      </c>
      <c r="Q103" s="1" t="s">
        <v>597</v>
      </c>
    </row>
    <row r="104" spans="1:17">
      <c r="A104" t="s">
        <v>551</v>
      </c>
      <c r="B104" t="b">
        <v>0</v>
      </c>
      <c r="C104" t="s">
        <v>400</v>
      </c>
      <c r="D104" s="2" t="s">
        <v>934</v>
      </c>
      <c r="E104">
        <v>0</v>
      </c>
      <c r="F104" t="s">
        <v>474</v>
      </c>
      <c r="G104" t="s">
        <v>364</v>
      </c>
      <c r="H104" t="s">
        <v>364</v>
      </c>
      <c r="I104" t="s">
        <v>364</v>
      </c>
      <c r="M104" t="s">
        <v>905</v>
      </c>
      <c r="P104" t="b">
        <v>0</v>
      </c>
      <c r="Q104" s="1" t="s">
        <v>597</v>
      </c>
    </row>
    <row r="105" spans="1:17">
      <c r="A105" t="s">
        <v>552</v>
      </c>
      <c r="B105" t="b">
        <v>0</v>
      </c>
      <c r="C105" t="s">
        <v>400</v>
      </c>
      <c r="D105" s="2" t="s">
        <v>935</v>
      </c>
      <c r="E105">
        <v>0</v>
      </c>
      <c r="F105" t="s">
        <v>474</v>
      </c>
      <c r="G105" t="s">
        <v>364</v>
      </c>
      <c r="H105" t="s">
        <v>364</v>
      </c>
      <c r="I105" t="s">
        <v>364</v>
      </c>
      <c r="M105" t="s">
        <v>905</v>
      </c>
      <c r="P105" t="b">
        <v>0</v>
      </c>
      <c r="Q105" s="1" t="s">
        <v>597</v>
      </c>
    </row>
    <row r="106" spans="1:17">
      <c r="A106" t="s">
        <v>553</v>
      </c>
      <c r="B106" t="b">
        <v>0</v>
      </c>
      <c r="C106" t="s">
        <v>400</v>
      </c>
      <c r="D106" s="2" t="s">
        <v>936</v>
      </c>
      <c r="E106">
        <v>0</v>
      </c>
      <c r="F106" t="s">
        <v>474</v>
      </c>
      <c r="G106" t="s">
        <v>364</v>
      </c>
      <c r="H106" t="s">
        <v>364</v>
      </c>
      <c r="I106" t="s">
        <v>364</v>
      </c>
      <c r="M106" t="s">
        <v>905</v>
      </c>
      <c r="P106" t="b">
        <v>0</v>
      </c>
      <c r="Q106" s="1" t="s">
        <v>630</v>
      </c>
    </row>
    <row r="107" spans="1:17">
      <c r="A107" t="s">
        <v>554</v>
      </c>
      <c r="B107" t="b">
        <v>0</v>
      </c>
      <c r="C107" t="s">
        <v>400</v>
      </c>
      <c r="D107" s="2" t="s">
        <v>944</v>
      </c>
      <c r="F107" t="s">
        <v>474</v>
      </c>
      <c r="G107" t="s">
        <v>473</v>
      </c>
      <c r="H107" t="s">
        <v>473</v>
      </c>
      <c r="I107" s="2" t="s">
        <v>494</v>
      </c>
      <c r="P107" t="b">
        <v>1</v>
      </c>
      <c r="Q107" s="1" t="s">
        <v>631</v>
      </c>
    </row>
    <row r="108" spans="1:17">
      <c r="A108" t="s">
        <v>555</v>
      </c>
      <c r="B108" t="b">
        <v>0</v>
      </c>
      <c r="C108" t="s">
        <v>400</v>
      </c>
      <c r="D108" s="2" t="s">
        <v>943</v>
      </c>
      <c r="F108" t="s">
        <v>474</v>
      </c>
      <c r="G108" t="s">
        <v>473</v>
      </c>
      <c r="H108" t="s">
        <v>473</v>
      </c>
      <c r="I108" s="2" t="s">
        <v>494</v>
      </c>
      <c r="P108" t="b">
        <v>1</v>
      </c>
      <c r="Q108" s="1" t="s">
        <v>631</v>
      </c>
    </row>
    <row r="109" spans="1:17">
      <c r="A109" t="s">
        <v>938</v>
      </c>
      <c r="B109" t="b">
        <v>0</v>
      </c>
      <c r="C109" t="s">
        <v>400</v>
      </c>
      <c r="D109" s="2" t="s">
        <v>937</v>
      </c>
      <c r="F109" t="s">
        <v>474</v>
      </c>
      <c r="G109" t="s">
        <v>473</v>
      </c>
      <c r="H109" t="s">
        <v>473</v>
      </c>
      <c r="I109" s="2" t="s">
        <v>494</v>
      </c>
      <c r="P109" t="b">
        <v>1</v>
      </c>
      <c r="Q109" s="1" t="s">
        <v>631</v>
      </c>
    </row>
    <row r="110" spans="1:17">
      <c r="A110" t="s">
        <v>939</v>
      </c>
      <c r="B110" t="b">
        <v>0</v>
      </c>
      <c r="C110" t="s">
        <v>400</v>
      </c>
      <c r="D110" s="2" t="s">
        <v>941</v>
      </c>
      <c r="F110" t="s">
        <v>474</v>
      </c>
      <c r="G110" t="s">
        <v>473</v>
      </c>
      <c r="H110" t="s">
        <v>473</v>
      </c>
      <c r="I110" s="2" t="s">
        <v>494</v>
      </c>
      <c r="P110" t="b">
        <v>0</v>
      </c>
      <c r="Q110" s="1" t="s">
        <v>631</v>
      </c>
    </row>
    <row r="111" spans="1:17">
      <c r="A111" t="s">
        <v>940</v>
      </c>
      <c r="B111" t="b">
        <v>0</v>
      </c>
      <c r="C111" t="s">
        <v>400</v>
      </c>
      <c r="D111" s="2" t="s">
        <v>942</v>
      </c>
      <c r="F111" t="s">
        <v>474</v>
      </c>
      <c r="G111" t="s">
        <v>473</v>
      </c>
      <c r="H111" t="s">
        <v>473</v>
      </c>
      <c r="I111" s="2" t="s">
        <v>494</v>
      </c>
      <c r="P111" t="b">
        <v>1</v>
      </c>
      <c r="Q111" s="1" t="s">
        <v>631</v>
      </c>
    </row>
    <row r="112" spans="1:17">
      <c r="A112" t="s">
        <v>416</v>
      </c>
      <c r="B112" t="b">
        <v>0</v>
      </c>
      <c r="C112" t="s">
        <v>945</v>
      </c>
      <c r="D112" s="2" t="s">
        <v>915</v>
      </c>
      <c r="E112">
        <v>0</v>
      </c>
      <c r="F112" t="s">
        <v>696</v>
      </c>
      <c r="G112" t="s">
        <v>499</v>
      </c>
      <c r="H112" t="s">
        <v>499</v>
      </c>
      <c r="I112" s="2" t="s">
        <v>495</v>
      </c>
      <c r="J112">
        <v>9</v>
      </c>
      <c r="P112" t="b">
        <v>0</v>
      </c>
    </row>
    <row r="113" spans="1:17">
      <c r="A113" t="s">
        <v>416</v>
      </c>
      <c r="B113" t="b">
        <v>0</v>
      </c>
      <c r="C113" t="s">
        <v>945</v>
      </c>
      <c r="D113" s="2" t="s">
        <v>716</v>
      </c>
      <c r="E113">
        <v>1</v>
      </c>
      <c r="F113" t="s">
        <v>696</v>
      </c>
      <c r="G113" t="s">
        <v>499</v>
      </c>
      <c r="H113" t="s">
        <v>499</v>
      </c>
      <c r="I113" s="2" t="s">
        <v>495</v>
      </c>
      <c r="J113">
        <v>0</v>
      </c>
      <c r="P113" t="b">
        <v>0</v>
      </c>
    </row>
    <row r="114" spans="1:17">
      <c r="A114" t="s">
        <v>1039</v>
      </c>
      <c r="B114" t="b">
        <v>0</v>
      </c>
      <c r="C114" t="s">
        <v>400</v>
      </c>
      <c r="D114" t="s">
        <v>804</v>
      </c>
      <c r="E114">
        <v>0</v>
      </c>
      <c r="F114" t="s">
        <v>804</v>
      </c>
      <c r="G114" t="s">
        <v>804</v>
      </c>
      <c r="H114" t="s">
        <v>804</v>
      </c>
      <c r="I114" t="s">
        <v>804</v>
      </c>
      <c r="L114">
        <v>2</v>
      </c>
      <c r="M114" s="12"/>
      <c r="P114" t="b">
        <v>0</v>
      </c>
      <c r="Q114"/>
    </row>
    <row r="115" spans="1:17">
      <c r="A115" t="s">
        <v>1048</v>
      </c>
      <c r="B115" t="b">
        <v>0</v>
      </c>
      <c r="C115" t="s">
        <v>400</v>
      </c>
      <c r="D115" s="2" t="s">
        <v>914</v>
      </c>
      <c r="E115">
        <v>0</v>
      </c>
      <c r="F115" s="2" t="s">
        <v>914</v>
      </c>
      <c r="G115" s="2" t="s">
        <v>914</v>
      </c>
      <c r="H115" s="2" t="s">
        <v>914</v>
      </c>
      <c r="I115" s="2" t="s">
        <v>914</v>
      </c>
      <c r="P115" t="b">
        <v>0</v>
      </c>
      <c r="Q115" s="12"/>
    </row>
    <row r="116" spans="1:17">
      <c r="A116" t="s">
        <v>945</v>
      </c>
      <c r="B116" t="b">
        <v>1</v>
      </c>
      <c r="C116" t="s">
        <v>945</v>
      </c>
      <c r="D116" s="2" t="s">
        <v>728</v>
      </c>
      <c r="E116">
        <v>0</v>
      </c>
      <c r="F116" t="s">
        <v>696</v>
      </c>
      <c r="G116" t="s">
        <v>499</v>
      </c>
      <c r="H116" t="s">
        <v>499</v>
      </c>
      <c r="I116" s="2" t="s">
        <v>495</v>
      </c>
      <c r="J116">
        <v>0</v>
      </c>
      <c r="L116">
        <v>5</v>
      </c>
      <c r="P116" t="b">
        <v>0</v>
      </c>
    </row>
    <row r="117" spans="1:17">
      <c r="A117" t="s">
        <v>945</v>
      </c>
      <c r="B117" t="b">
        <v>1</v>
      </c>
      <c r="C117" t="s">
        <v>945</v>
      </c>
      <c r="D117" t="s">
        <v>729</v>
      </c>
      <c r="E117">
        <v>1</v>
      </c>
      <c r="F117" t="s">
        <v>730</v>
      </c>
      <c r="G117" t="s">
        <v>499</v>
      </c>
      <c r="H117" t="s">
        <v>731</v>
      </c>
      <c r="I117" t="s">
        <v>731</v>
      </c>
      <c r="N117" t="s">
        <v>510</v>
      </c>
      <c r="O117" t="b">
        <v>1</v>
      </c>
      <c r="P117" t="b">
        <v>0</v>
      </c>
      <c r="Q117" t="s">
        <v>945</v>
      </c>
    </row>
    <row r="118" spans="1:17">
      <c r="A118" t="s">
        <v>946</v>
      </c>
      <c r="B118" t="b">
        <v>1</v>
      </c>
      <c r="C118" t="s">
        <v>945</v>
      </c>
      <c r="D118" s="2" t="s">
        <v>971</v>
      </c>
      <c r="E118">
        <v>0</v>
      </c>
      <c r="F118" t="s">
        <v>471</v>
      </c>
      <c r="G118" t="s">
        <v>499</v>
      </c>
      <c r="H118" t="s">
        <v>499</v>
      </c>
      <c r="I118" s="2" t="s">
        <v>494</v>
      </c>
      <c r="P118" t="b">
        <v>0</v>
      </c>
      <c r="Q118" s="12"/>
    </row>
    <row r="119" spans="1:17">
      <c r="A119" t="s">
        <v>946</v>
      </c>
      <c r="B119" t="b">
        <v>1</v>
      </c>
      <c r="C119" t="s">
        <v>945</v>
      </c>
      <c r="D119" s="2" t="s">
        <v>915</v>
      </c>
      <c r="E119">
        <v>1</v>
      </c>
      <c r="F119" t="s">
        <v>696</v>
      </c>
      <c r="G119" t="s">
        <v>499</v>
      </c>
      <c r="H119" t="s">
        <v>499</v>
      </c>
      <c r="I119" s="2" t="s">
        <v>495</v>
      </c>
      <c r="J119">
        <v>0</v>
      </c>
      <c r="P119" t="b">
        <v>0</v>
      </c>
      <c r="Q119" s="12"/>
    </row>
    <row r="120" spans="1:17">
      <c r="A120" t="s">
        <v>946</v>
      </c>
      <c r="B120" t="b">
        <v>1</v>
      </c>
      <c r="C120" t="s">
        <v>945</v>
      </c>
      <c r="D120" s="2" t="s">
        <v>725</v>
      </c>
      <c r="E120">
        <v>2</v>
      </c>
      <c r="F120" t="s">
        <v>696</v>
      </c>
      <c r="G120" t="s">
        <v>499</v>
      </c>
      <c r="H120" t="s">
        <v>499</v>
      </c>
      <c r="I120" s="2" t="s">
        <v>495</v>
      </c>
      <c r="J120">
        <v>0</v>
      </c>
      <c r="P120" t="b">
        <v>0</v>
      </c>
      <c r="Q120" s="12"/>
    </row>
    <row r="121" spans="1:17">
      <c r="A121" t="s">
        <v>964</v>
      </c>
      <c r="B121" t="b">
        <v>1</v>
      </c>
      <c r="C121" t="s">
        <v>945</v>
      </c>
      <c r="D121" s="2" t="s">
        <v>963</v>
      </c>
      <c r="E121">
        <v>0</v>
      </c>
      <c r="F121" s="2" t="s">
        <v>471</v>
      </c>
      <c r="G121" s="2" t="s">
        <v>911</v>
      </c>
      <c r="H121" s="2" t="s">
        <v>911</v>
      </c>
      <c r="I121" s="2" t="s">
        <v>494</v>
      </c>
      <c r="P121" t="b">
        <v>0</v>
      </c>
      <c r="Q121" s="12"/>
    </row>
    <row r="122" spans="1:17">
      <c r="A122" t="s">
        <v>948</v>
      </c>
      <c r="B122" t="b">
        <v>1</v>
      </c>
      <c r="C122" t="s">
        <v>945</v>
      </c>
      <c r="D122" s="2" t="s">
        <v>947</v>
      </c>
      <c r="E122">
        <v>0</v>
      </c>
      <c r="F122" t="s">
        <v>474</v>
      </c>
      <c r="G122" t="s">
        <v>499</v>
      </c>
      <c r="H122" t="s">
        <v>499</v>
      </c>
      <c r="I122" s="2" t="s">
        <v>495</v>
      </c>
      <c r="J122">
        <v>0</v>
      </c>
      <c r="P122" t="b">
        <v>0</v>
      </c>
    </row>
    <row r="123" spans="1:17">
      <c r="A123" t="s">
        <v>949</v>
      </c>
      <c r="B123" t="b">
        <v>1</v>
      </c>
      <c r="C123" t="s">
        <v>945</v>
      </c>
      <c r="D123" s="2" t="s">
        <v>915</v>
      </c>
      <c r="E123">
        <v>0</v>
      </c>
      <c r="F123" t="s">
        <v>696</v>
      </c>
      <c r="G123" t="s">
        <v>499</v>
      </c>
      <c r="H123" t="s">
        <v>499</v>
      </c>
      <c r="I123" s="2" t="s">
        <v>495</v>
      </c>
      <c r="J123">
        <v>0</v>
      </c>
      <c r="P123" t="b">
        <v>0</v>
      </c>
    </row>
    <row r="124" spans="1:17">
      <c r="A124" t="s">
        <v>949</v>
      </c>
      <c r="B124" t="b">
        <v>1</v>
      </c>
      <c r="C124" t="s">
        <v>945</v>
      </c>
      <c r="D124" s="2" t="s">
        <v>716</v>
      </c>
      <c r="E124">
        <v>1</v>
      </c>
      <c r="F124" t="s">
        <v>696</v>
      </c>
      <c r="G124" t="s">
        <v>499</v>
      </c>
      <c r="H124" t="s">
        <v>499</v>
      </c>
      <c r="I124" s="2" t="s">
        <v>495</v>
      </c>
      <c r="J124">
        <v>0</v>
      </c>
      <c r="P124" t="b">
        <v>0</v>
      </c>
    </row>
    <row r="125" spans="1:17">
      <c r="A125" t="s">
        <v>1049</v>
      </c>
      <c r="B125" t="b">
        <v>1</v>
      </c>
      <c r="C125" t="s">
        <v>945</v>
      </c>
      <c r="D125" s="2" t="s">
        <v>914</v>
      </c>
      <c r="E125">
        <v>0</v>
      </c>
      <c r="F125" s="2" t="s">
        <v>914</v>
      </c>
      <c r="G125" s="2" t="s">
        <v>914</v>
      </c>
      <c r="H125" s="2" t="s">
        <v>914</v>
      </c>
      <c r="I125" s="2" t="s">
        <v>914</v>
      </c>
      <c r="P125" t="b">
        <v>0</v>
      </c>
      <c r="Q125" s="12"/>
    </row>
    <row r="126" spans="1:17">
      <c r="A126" t="s">
        <v>973</v>
      </c>
      <c r="B126" t="b">
        <v>1</v>
      </c>
      <c r="C126" t="s">
        <v>948</v>
      </c>
      <c r="D126" s="2" t="s">
        <v>974</v>
      </c>
      <c r="E126">
        <v>0</v>
      </c>
      <c r="F126" s="2" t="s">
        <v>471</v>
      </c>
      <c r="G126" s="2" t="s">
        <v>911</v>
      </c>
      <c r="H126" s="2" t="s">
        <v>911</v>
      </c>
      <c r="I126" s="2" t="s">
        <v>494</v>
      </c>
      <c r="P126" t="b">
        <v>0</v>
      </c>
    </row>
    <row r="127" spans="1:17">
      <c r="A127" t="s">
        <v>1219</v>
      </c>
      <c r="B127" t="b">
        <v>1</v>
      </c>
      <c r="C127" t="s">
        <v>945</v>
      </c>
      <c r="D127" s="2" t="s">
        <v>952</v>
      </c>
      <c r="E127">
        <v>0</v>
      </c>
      <c r="F127" t="s">
        <v>474</v>
      </c>
      <c r="G127" t="s">
        <v>473</v>
      </c>
      <c r="H127" t="s">
        <v>473</v>
      </c>
      <c r="I127" s="2" t="s">
        <v>494</v>
      </c>
      <c r="P127" t="b">
        <v>1</v>
      </c>
      <c r="Q127" s="20" t="s">
        <v>824</v>
      </c>
    </row>
    <row r="128" spans="1:17">
      <c r="A128" t="s">
        <v>1220</v>
      </c>
      <c r="B128" t="b">
        <v>1</v>
      </c>
      <c r="C128" t="s">
        <v>945</v>
      </c>
      <c r="D128" s="2" t="s">
        <v>965</v>
      </c>
      <c r="E128">
        <v>0</v>
      </c>
      <c r="F128" t="s">
        <v>474</v>
      </c>
      <c r="G128" t="s">
        <v>473</v>
      </c>
      <c r="H128" t="s">
        <v>473</v>
      </c>
      <c r="I128" s="2" t="s">
        <v>494</v>
      </c>
      <c r="P128" t="b">
        <v>1</v>
      </c>
      <c r="Q128" s="1" t="s">
        <v>970</v>
      </c>
    </row>
    <row r="129" spans="1:17">
      <c r="A129" t="s">
        <v>1327</v>
      </c>
      <c r="B129" t="b">
        <v>1</v>
      </c>
      <c r="C129" t="s">
        <v>945</v>
      </c>
      <c r="D129" s="2" t="s">
        <v>1328</v>
      </c>
      <c r="E129">
        <v>0</v>
      </c>
      <c r="F129" t="s">
        <v>474</v>
      </c>
      <c r="G129" t="s">
        <v>473</v>
      </c>
      <c r="H129" t="s">
        <v>473</v>
      </c>
      <c r="I129" s="2" t="s">
        <v>494</v>
      </c>
      <c r="P129" t="b">
        <v>1</v>
      </c>
      <c r="Q129" s="20"/>
    </row>
    <row r="130" spans="1:17">
      <c r="A130" t="s">
        <v>556</v>
      </c>
      <c r="B130" t="b">
        <v>1</v>
      </c>
      <c r="C130" t="s">
        <v>945</v>
      </c>
      <c r="D130" s="2" t="s">
        <v>950</v>
      </c>
      <c r="E130">
        <v>0</v>
      </c>
      <c r="F130" t="s">
        <v>474</v>
      </c>
      <c r="G130" t="s">
        <v>473</v>
      </c>
      <c r="H130" t="s">
        <v>473</v>
      </c>
      <c r="I130" s="2" t="s">
        <v>494</v>
      </c>
      <c r="P130" t="b">
        <v>1</v>
      </c>
      <c r="Q130" s="20" t="s">
        <v>822</v>
      </c>
    </row>
    <row r="131" spans="1:17">
      <c r="A131" t="s">
        <v>1231</v>
      </c>
      <c r="B131" t="b">
        <v>1</v>
      </c>
      <c r="C131" t="s">
        <v>945</v>
      </c>
      <c r="D131" s="2" t="s">
        <v>951</v>
      </c>
      <c r="E131">
        <v>0</v>
      </c>
      <c r="F131" t="s">
        <v>474</v>
      </c>
      <c r="G131" t="s">
        <v>499</v>
      </c>
      <c r="I131" s="2" t="s">
        <v>494</v>
      </c>
      <c r="P131" t="b">
        <v>1</v>
      </c>
    </row>
    <row r="132" spans="1:17">
      <c r="A132" t="s">
        <v>1231</v>
      </c>
      <c r="B132" t="b">
        <v>1</v>
      </c>
      <c r="C132" t="s">
        <v>945</v>
      </c>
      <c r="D132" s="2" t="s">
        <v>1208</v>
      </c>
      <c r="E132">
        <v>1</v>
      </c>
      <c r="F132" t="s">
        <v>730</v>
      </c>
      <c r="G132" t="s">
        <v>499</v>
      </c>
      <c r="H132" t="s">
        <v>731</v>
      </c>
      <c r="I132" t="s">
        <v>731</v>
      </c>
      <c r="N132" t="s">
        <v>905</v>
      </c>
      <c r="O132" t="b">
        <v>0</v>
      </c>
      <c r="P132" t="b">
        <v>1</v>
      </c>
      <c r="Q132" t="s">
        <v>201</v>
      </c>
    </row>
    <row r="133" spans="1:17">
      <c r="A133" t="s">
        <v>557</v>
      </c>
      <c r="B133" t="b">
        <v>1</v>
      </c>
      <c r="C133" t="s">
        <v>945</v>
      </c>
      <c r="D133" s="2" t="s">
        <v>953</v>
      </c>
      <c r="E133">
        <v>0</v>
      </c>
      <c r="F133" t="s">
        <v>474</v>
      </c>
      <c r="G133" t="s">
        <v>499</v>
      </c>
      <c r="I133" s="2" t="s">
        <v>494</v>
      </c>
      <c r="P133" t="b">
        <v>1</v>
      </c>
      <c r="Q133" s="20"/>
    </row>
    <row r="134" spans="1:17">
      <c r="A134" t="s">
        <v>557</v>
      </c>
      <c r="B134" t="b">
        <v>1</v>
      </c>
      <c r="C134" t="s">
        <v>945</v>
      </c>
      <c r="D134" s="2" t="s">
        <v>1208</v>
      </c>
      <c r="E134">
        <v>1</v>
      </c>
      <c r="F134" t="s">
        <v>730</v>
      </c>
      <c r="G134" t="s">
        <v>499</v>
      </c>
      <c r="H134" t="s">
        <v>731</v>
      </c>
      <c r="I134" t="s">
        <v>731</v>
      </c>
      <c r="N134" t="s">
        <v>905</v>
      </c>
      <c r="O134" t="b">
        <v>0</v>
      </c>
      <c r="P134" t="b">
        <v>1</v>
      </c>
      <c r="Q134" s="20" t="s">
        <v>650</v>
      </c>
    </row>
    <row r="135" spans="1:17">
      <c r="A135" t="s">
        <v>558</v>
      </c>
      <c r="B135" t="b">
        <v>1</v>
      </c>
      <c r="C135" t="s">
        <v>945</v>
      </c>
      <c r="D135" s="2" t="s">
        <v>954</v>
      </c>
      <c r="E135">
        <v>0</v>
      </c>
      <c r="F135" t="s">
        <v>474</v>
      </c>
      <c r="G135" t="s">
        <v>364</v>
      </c>
      <c r="H135" t="s">
        <v>364</v>
      </c>
      <c r="I135" t="s">
        <v>364</v>
      </c>
      <c r="M135" t="s">
        <v>905</v>
      </c>
      <c r="P135" t="b">
        <v>0</v>
      </c>
      <c r="Q135" s="1" t="s">
        <v>618</v>
      </c>
    </row>
    <row r="136" spans="1:17">
      <c r="A136" t="s">
        <v>955</v>
      </c>
      <c r="B136" t="b">
        <v>1</v>
      </c>
      <c r="C136" t="s">
        <v>945</v>
      </c>
      <c r="D136" s="2" t="s">
        <v>956</v>
      </c>
      <c r="E136">
        <v>0</v>
      </c>
      <c r="F136" t="s">
        <v>471</v>
      </c>
      <c r="G136" t="s">
        <v>499</v>
      </c>
      <c r="H136" t="s">
        <v>499</v>
      </c>
      <c r="I136" s="2" t="s">
        <v>494</v>
      </c>
      <c r="L136">
        <v>3</v>
      </c>
      <c r="P136" t="b">
        <v>0</v>
      </c>
    </row>
    <row r="137" spans="1:17">
      <c r="A137" t="s">
        <v>955</v>
      </c>
      <c r="B137" t="b">
        <v>1</v>
      </c>
      <c r="C137" t="s">
        <v>945</v>
      </c>
      <c r="D137" s="2" t="s">
        <v>716</v>
      </c>
      <c r="E137">
        <v>1</v>
      </c>
      <c r="F137" t="s">
        <v>696</v>
      </c>
      <c r="G137" t="s">
        <v>499</v>
      </c>
      <c r="H137" t="s">
        <v>499</v>
      </c>
      <c r="I137" s="2" t="s">
        <v>495</v>
      </c>
      <c r="J137">
        <v>0</v>
      </c>
      <c r="L137">
        <v>3</v>
      </c>
      <c r="P137" t="b">
        <v>0</v>
      </c>
    </row>
    <row r="138" spans="1:17">
      <c r="A138" t="s">
        <v>966</v>
      </c>
      <c r="B138" t="b">
        <v>1</v>
      </c>
      <c r="C138" t="s">
        <v>945</v>
      </c>
      <c r="D138" s="2" t="s">
        <v>958</v>
      </c>
      <c r="E138">
        <v>0</v>
      </c>
      <c r="F138" s="2" t="s">
        <v>471</v>
      </c>
      <c r="G138" s="2" t="s">
        <v>911</v>
      </c>
      <c r="H138" s="2" t="s">
        <v>911</v>
      </c>
      <c r="I138" s="2" t="s">
        <v>494</v>
      </c>
      <c r="P138" t="b">
        <v>0</v>
      </c>
    </row>
    <row r="139" spans="1:17">
      <c r="A139" t="s">
        <v>957</v>
      </c>
      <c r="B139" t="b">
        <v>1</v>
      </c>
      <c r="C139" t="s">
        <v>945</v>
      </c>
      <c r="D139" s="2" t="s">
        <v>959</v>
      </c>
      <c r="E139">
        <v>0</v>
      </c>
      <c r="F139" t="s">
        <v>696</v>
      </c>
      <c r="G139" t="s">
        <v>499</v>
      </c>
      <c r="H139" t="s">
        <v>499</v>
      </c>
      <c r="I139" s="2" t="s">
        <v>495</v>
      </c>
      <c r="J139">
        <v>0</v>
      </c>
      <c r="K139">
        <v>5</v>
      </c>
      <c r="P139" t="b">
        <v>0</v>
      </c>
    </row>
    <row r="140" spans="1:17">
      <c r="A140" t="s">
        <v>957</v>
      </c>
      <c r="B140" t="b">
        <v>1</v>
      </c>
      <c r="C140" t="s">
        <v>945</v>
      </c>
      <c r="D140" s="2" t="s">
        <v>975</v>
      </c>
      <c r="E140">
        <v>1</v>
      </c>
      <c r="F140" s="2" t="s">
        <v>474</v>
      </c>
      <c r="G140" t="s">
        <v>364</v>
      </c>
      <c r="H140" t="s">
        <v>364</v>
      </c>
      <c r="I140" t="s">
        <v>364</v>
      </c>
      <c r="M140" t="s">
        <v>905</v>
      </c>
      <c r="P140" t="b">
        <v>0</v>
      </c>
      <c r="Q140" s="1" t="s">
        <v>653</v>
      </c>
    </row>
    <row r="141" spans="1:17">
      <c r="A141" t="s">
        <v>960</v>
      </c>
      <c r="B141" t="b">
        <v>1</v>
      </c>
      <c r="C141" t="s">
        <v>945</v>
      </c>
      <c r="D141" s="2" t="s">
        <v>915</v>
      </c>
      <c r="E141">
        <v>0</v>
      </c>
      <c r="F141" t="s">
        <v>696</v>
      </c>
      <c r="G141" t="s">
        <v>499</v>
      </c>
      <c r="H141" t="s">
        <v>499</v>
      </c>
      <c r="I141" s="2" t="s">
        <v>495</v>
      </c>
      <c r="J141">
        <v>0</v>
      </c>
      <c r="P141" t="b">
        <v>0</v>
      </c>
    </row>
    <row r="142" spans="1:17">
      <c r="A142" t="s">
        <v>960</v>
      </c>
      <c r="B142" t="b">
        <v>1</v>
      </c>
      <c r="C142" t="s">
        <v>945</v>
      </c>
      <c r="D142" s="2" t="s">
        <v>716</v>
      </c>
      <c r="E142">
        <v>1</v>
      </c>
      <c r="F142" t="s">
        <v>696</v>
      </c>
      <c r="G142" t="s">
        <v>499</v>
      </c>
      <c r="H142" t="s">
        <v>499</v>
      </c>
      <c r="I142" s="2" t="s">
        <v>495</v>
      </c>
      <c r="J142">
        <v>0</v>
      </c>
      <c r="P142" t="b">
        <v>0</v>
      </c>
    </row>
    <row r="143" spans="1:17">
      <c r="A143" t="s">
        <v>984</v>
      </c>
      <c r="B143" t="b">
        <v>1</v>
      </c>
      <c r="C143" t="s">
        <v>945</v>
      </c>
      <c r="D143" s="2" t="s">
        <v>914</v>
      </c>
      <c r="E143">
        <v>0</v>
      </c>
      <c r="F143" s="2" t="s">
        <v>914</v>
      </c>
      <c r="G143" s="2" t="s">
        <v>914</v>
      </c>
      <c r="H143" s="2" t="s">
        <v>914</v>
      </c>
      <c r="I143" s="2" t="s">
        <v>914</v>
      </c>
      <c r="P143" t="b">
        <v>0</v>
      </c>
      <c r="Q143" s="12"/>
    </row>
    <row r="144" spans="1:17">
      <c r="A144" t="s">
        <v>1050</v>
      </c>
      <c r="B144" t="b">
        <v>1</v>
      </c>
      <c r="C144" t="s">
        <v>945</v>
      </c>
      <c r="D144" s="2" t="s">
        <v>974</v>
      </c>
      <c r="E144">
        <v>0</v>
      </c>
      <c r="F144" s="2" t="s">
        <v>471</v>
      </c>
      <c r="G144" s="2" t="s">
        <v>911</v>
      </c>
      <c r="H144" s="2" t="s">
        <v>911</v>
      </c>
      <c r="I144" s="2" t="s">
        <v>494</v>
      </c>
      <c r="P144" t="b">
        <v>0</v>
      </c>
    </row>
    <row r="145" spans="1:17">
      <c r="A145" t="s">
        <v>560</v>
      </c>
      <c r="B145" t="b">
        <v>1</v>
      </c>
      <c r="C145" t="s">
        <v>945</v>
      </c>
      <c r="D145" s="2" t="s">
        <v>961</v>
      </c>
      <c r="E145">
        <v>0</v>
      </c>
      <c r="F145" t="s">
        <v>474</v>
      </c>
      <c r="G145" t="s">
        <v>364</v>
      </c>
      <c r="H145" t="s">
        <v>364</v>
      </c>
      <c r="I145" t="s">
        <v>364</v>
      </c>
      <c r="J145">
        <v>0</v>
      </c>
      <c r="M145" t="s">
        <v>905</v>
      </c>
      <c r="P145" t="b">
        <v>1</v>
      </c>
      <c r="Q145" s="1" t="s">
        <v>655</v>
      </c>
    </row>
    <row r="146" spans="1:17" ht="16.5">
      <c r="A146" t="s">
        <v>561</v>
      </c>
      <c r="B146" t="b">
        <v>1</v>
      </c>
      <c r="C146" t="s">
        <v>945</v>
      </c>
      <c r="D146" s="2" t="s">
        <v>1051</v>
      </c>
      <c r="E146">
        <v>0</v>
      </c>
      <c r="F146" t="s">
        <v>474</v>
      </c>
      <c r="G146" t="s">
        <v>364</v>
      </c>
      <c r="H146" t="s">
        <v>364</v>
      </c>
      <c r="I146" t="s">
        <v>364</v>
      </c>
      <c r="J146">
        <v>0</v>
      </c>
      <c r="M146" t="s">
        <v>905</v>
      </c>
      <c r="P146" t="b">
        <v>1</v>
      </c>
      <c r="Q146" s="18" t="s">
        <v>1052</v>
      </c>
    </row>
    <row r="147" spans="1:17" ht="16.5">
      <c r="A147" s="18" t="s">
        <v>1221</v>
      </c>
      <c r="B147" t="b">
        <v>1</v>
      </c>
      <c r="C147" t="s">
        <v>945</v>
      </c>
      <c r="D147" s="2" t="s">
        <v>1229</v>
      </c>
      <c r="E147">
        <v>0</v>
      </c>
      <c r="F147" t="s">
        <v>474</v>
      </c>
      <c r="G147" t="s">
        <v>473</v>
      </c>
      <c r="H147" t="s">
        <v>473</v>
      </c>
      <c r="I147" s="2" t="s">
        <v>494</v>
      </c>
      <c r="P147" t="b">
        <v>0</v>
      </c>
      <c r="Q147" s="18">
        <v>0</v>
      </c>
    </row>
    <row r="148" spans="1:17" ht="16.5">
      <c r="A148" s="16" t="s">
        <v>1222</v>
      </c>
      <c r="B148" t="b">
        <v>1</v>
      </c>
      <c r="C148" t="s">
        <v>945</v>
      </c>
      <c r="D148" s="2" t="s">
        <v>1230</v>
      </c>
      <c r="E148">
        <v>0</v>
      </c>
      <c r="F148" t="s">
        <v>474</v>
      </c>
      <c r="G148" t="s">
        <v>473</v>
      </c>
      <c r="H148" t="s">
        <v>473</v>
      </c>
      <c r="I148" s="2" t="s">
        <v>494</v>
      </c>
      <c r="P148" t="b">
        <v>0</v>
      </c>
      <c r="Q148" s="18">
        <v>0</v>
      </c>
    </row>
    <row r="149" spans="1:17" ht="16.5">
      <c r="A149" s="18" t="s">
        <v>1223</v>
      </c>
      <c r="B149" t="b">
        <v>1</v>
      </c>
      <c r="C149" t="s">
        <v>945</v>
      </c>
      <c r="D149" s="2" t="s">
        <v>1226</v>
      </c>
      <c r="E149">
        <v>0</v>
      </c>
      <c r="F149" t="s">
        <v>474</v>
      </c>
      <c r="G149" t="s">
        <v>364</v>
      </c>
      <c r="H149" t="s">
        <v>364</v>
      </c>
      <c r="I149" t="s">
        <v>364</v>
      </c>
      <c r="J149">
        <v>0</v>
      </c>
      <c r="M149" t="s">
        <v>905</v>
      </c>
      <c r="P149" t="b">
        <v>0</v>
      </c>
      <c r="Q149" s="18" t="s">
        <v>597</v>
      </c>
    </row>
    <row r="150" spans="1:17" ht="16.5">
      <c r="A150" s="18" t="s">
        <v>1224</v>
      </c>
      <c r="B150" t="b">
        <v>1</v>
      </c>
      <c r="C150" t="s">
        <v>945</v>
      </c>
      <c r="D150" s="2" t="s">
        <v>1227</v>
      </c>
      <c r="E150">
        <v>0</v>
      </c>
      <c r="F150" t="s">
        <v>474</v>
      </c>
      <c r="G150" t="s">
        <v>364</v>
      </c>
      <c r="H150" t="s">
        <v>364</v>
      </c>
      <c r="I150" t="s">
        <v>364</v>
      </c>
      <c r="J150">
        <v>0</v>
      </c>
      <c r="M150" t="s">
        <v>905</v>
      </c>
      <c r="P150" t="b">
        <v>0</v>
      </c>
      <c r="Q150" s="18" t="s">
        <v>597</v>
      </c>
    </row>
    <row r="151" spans="1:17" ht="16.5">
      <c r="A151" s="18" t="s">
        <v>1225</v>
      </c>
      <c r="B151" t="b">
        <v>1</v>
      </c>
      <c r="C151" t="s">
        <v>945</v>
      </c>
      <c r="D151" s="2" t="s">
        <v>1228</v>
      </c>
      <c r="E151">
        <v>0</v>
      </c>
      <c r="F151" t="s">
        <v>474</v>
      </c>
      <c r="G151" t="s">
        <v>364</v>
      </c>
      <c r="H151" t="s">
        <v>364</v>
      </c>
      <c r="I151" t="s">
        <v>364</v>
      </c>
      <c r="J151">
        <v>0</v>
      </c>
      <c r="M151" t="s">
        <v>905</v>
      </c>
      <c r="P151" t="b">
        <v>0</v>
      </c>
      <c r="Q151" s="18" t="s">
        <v>597</v>
      </c>
    </row>
    <row r="152" spans="1:17">
      <c r="A152" s="28" t="s">
        <v>1233</v>
      </c>
      <c r="B152" t="b">
        <v>1</v>
      </c>
      <c r="C152" t="s">
        <v>945</v>
      </c>
      <c r="D152" s="2" t="s">
        <v>1040</v>
      </c>
      <c r="E152">
        <v>0</v>
      </c>
      <c r="F152" t="s">
        <v>474</v>
      </c>
      <c r="G152" t="s">
        <v>473</v>
      </c>
      <c r="H152" t="s">
        <v>473</v>
      </c>
      <c r="I152" s="2" t="s">
        <v>494</v>
      </c>
      <c r="P152" t="b">
        <v>1</v>
      </c>
      <c r="Q152" s="20" t="s">
        <v>825</v>
      </c>
    </row>
    <row r="153" spans="1:17">
      <c r="A153" s="28" t="s">
        <v>1234</v>
      </c>
      <c r="B153" t="b">
        <v>1</v>
      </c>
      <c r="C153" t="s">
        <v>945</v>
      </c>
      <c r="D153" s="2" t="s">
        <v>1041</v>
      </c>
      <c r="E153">
        <v>0</v>
      </c>
      <c r="F153" t="s">
        <v>474</v>
      </c>
      <c r="G153" t="s">
        <v>473</v>
      </c>
      <c r="H153" t="s">
        <v>473</v>
      </c>
      <c r="I153" s="2" t="s">
        <v>494</v>
      </c>
      <c r="P153" t="b">
        <v>1</v>
      </c>
      <c r="Q153" s="20" t="s">
        <v>826</v>
      </c>
    </row>
    <row r="154" spans="1:17">
      <c r="A154" s="28" t="s">
        <v>1235</v>
      </c>
      <c r="B154" t="b">
        <v>1</v>
      </c>
      <c r="C154" t="s">
        <v>945</v>
      </c>
      <c r="D154" s="2" t="s">
        <v>1042</v>
      </c>
      <c r="E154">
        <v>0</v>
      </c>
      <c r="F154" t="s">
        <v>474</v>
      </c>
      <c r="G154" t="s">
        <v>499</v>
      </c>
      <c r="I154" s="2" t="s">
        <v>494</v>
      </c>
      <c r="P154" t="b">
        <v>1</v>
      </c>
      <c r="Q154" s="20"/>
    </row>
    <row r="155" spans="1:17">
      <c r="A155" s="28" t="s">
        <v>1235</v>
      </c>
      <c r="B155" t="b">
        <v>1</v>
      </c>
      <c r="C155" t="s">
        <v>945</v>
      </c>
      <c r="D155" s="2" t="s">
        <v>1208</v>
      </c>
      <c r="E155">
        <v>1</v>
      </c>
      <c r="F155" t="s">
        <v>730</v>
      </c>
      <c r="G155" t="s">
        <v>499</v>
      </c>
      <c r="H155" t="s">
        <v>731</v>
      </c>
      <c r="I155" t="s">
        <v>731</v>
      </c>
      <c r="N155" t="s">
        <v>905</v>
      </c>
      <c r="O155" t="b">
        <v>0</v>
      </c>
      <c r="P155" t="b">
        <v>1</v>
      </c>
      <c r="Q155" s="20" t="s">
        <v>650</v>
      </c>
    </row>
    <row r="156" spans="1:17">
      <c r="A156" s="28" t="s">
        <v>1236</v>
      </c>
      <c r="B156" t="b">
        <v>1</v>
      </c>
      <c r="C156" t="s">
        <v>945</v>
      </c>
      <c r="D156" s="2" t="s">
        <v>1043</v>
      </c>
      <c r="E156">
        <v>0</v>
      </c>
      <c r="F156" t="s">
        <v>474</v>
      </c>
      <c r="G156" t="s">
        <v>473</v>
      </c>
      <c r="H156" t="s">
        <v>473</v>
      </c>
      <c r="I156" s="2" t="s">
        <v>494</v>
      </c>
      <c r="P156" t="b">
        <v>1</v>
      </c>
      <c r="Q156" s="20" t="s">
        <v>827</v>
      </c>
    </row>
    <row r="157" spans="1:17">
      <c r="A157" s="28" t="s">
        <v>1237</v>
      </c>
      <c r="B157" t="b">
        <v>1</v>
      </c>
      <c r="C157" t="s">
        <v>945</v>
      </c>
      <c r="D157" s="2" t="s">
        <v>1044</v>
      </c>
      <c r="E157">
        <v>0</v>
      </c>
      <c r="F157" t="s">
        <v>474</v>
      </c>
      <c r="G157" t="s">
        <v>473</v>
      </c>
      <c r="H157" t="s">
        <v>473</v>
      </c>
      <c r="I157" s="2" t="s">
        <v>494</v>
      </c>
      <c r="P157" t="b">
        <v>1</v>
      </c>
      <c r="Q157" s="20" t="s">
        <v>659</v>
      </c>
    </row>
    <row r="158" spans="1:17">
      <c r="A158" s="28" t="s">
        <v>1238</v>
      </c>
      <c r="B158" t="b">
        <v>1</v>
      </c>
      <c r="C158" t="s">
        <v>945</v>
      </c>
      <c r="D158" s="2" t="s">
        <v>1045</v>
      </c>
      <c r="E158">
        <v>0</v>
      </c>
      <c r="F158" t="s">
        <v>474</v>
      </c>
      <c r="G158" t="s">
        <v>473</v>
      </c>
      <c r="H158" t="s">
        <v>473</v>
      </c>
      <c r="I158" s="2" t="s">
        <v>494</v>
      </c>
      <c r="P158" t="b">
        <v>1</v>
      </c>
      <c r="Q158" s="20" t="s">
        <v>660</v>
      </c>
    </row>
    <row r="159" spans="1:17">
      <c r="A159" s="28" t="s">
        <v>1239</v>
      </c>
      <c r="B159" t="b">
        <v>1</v>
      </c>
      <c r="C159" t="s">
        <v>945</v>
      </c>
      <c r="D159" s="2" t="s">
        <v>1046</v>
      </c>
      <c r="E159">
        <v>0</v>
      </c>
      <c r="F159" t="s">
        <v>474</v>
      </c>
      <c r="G159" t="s">
        <v>473</v>
      </c>
      <c r="H159" t="s">
        <v>473</v>
      </c>
      <c r="I159" s="2" t="s">
        <v>494</v>
      </c>
      <c r="P159" t="b">
        <v>1</v>
      </c>
      <c r="Q159" s="20" t="s">
        <v>661</v>
      </c>
    </row>
    <row r="160" spans="1:17">
      <c r="A160" s="28" t="s">
        <v>1240</v>
      </c>
      <c r="B160" t="b">
        <v>1</v>
      </c>
      <c r="C160" t="s">
        <v>945</v>
      </c>
      <c r="D160" s="2" t="s">
        <v>1047</v>
      </c>
      <c r="E160">
        <v>0</v>
      </c>
      <c r="F160" t="s">
        <v>474</v>
      </c>
      <c r="G160" t="s">
        <v>473</v>
      </c>
      <c r="H160" t="s">
        <v>473</v>
      </c>
      <c r="I160" s="2" t="s">
        <v>494</v>
      </c>
      <c r="P160" t="b">
        <v>1</v>
      </c>
      <c r="Q160" s="20" t="s">
        <v>618</v>
      </c>
    </row>
    <row r="161" spans="1:18" ht="16.5">
      <c r="A161" s="6" t="s">
        <v>1060</v>
      </c>
      <c r="B161" t="b">
        <v>1</v>
      </c>
      <c r="C161" t="s">
        <v>945</v>
      </c>
      <c r="D161" s="2" t="s">
        <v>971</v>
      </c>
      <c r="E161">
        <v>0</v>
      </c>
      <c r="F161" t="s">
        <v>471</v>
      </c>
      <c r="G161" t="s">
        <v>499</v>
      </c>
      <c r="H161" t="s">
        <v>499</v>
      </c>
      <c r="I161" t="s">
        <v>499</v>
      </c>
      <c r="M161" t="s">
        <v>905</v>
      </c>
      <c r="P161" t="b">
        <v>0</v>
      </c>
      <c r="Q161" s="18" t="s">
        <v>1052</v>
      </c>
    </row>
    <row r="162" spans="1:18" ht="16.5">
      <c r="A162" s="6" t="s">
        <v>1060</v>
      </c>
      <c r="B162" t="b">
        <v>1</v>
      </c>
      <c r="C162" t="s">
        <v>945</v>
      </c>
      <c r="D162" s="2" t="s">
        <v>1061</v>
      </c>
      <c r="E162">
        <v>1</v>
      </c>
      <c r="F162" t="s">
        <v>471</v>
      </c>
      <c r="G162" t="s">
        <v>499</v>
      </c>
      <c r="H162" t="s">
        <v>499</v>
      </c>
      <c r="I162" t="s">
        <v>499</v>
      </c>
      <c r="M162" t="s">
        <v>905</v>
      </c>
      <c r="P162" t="b">
        <v>0</v>
      </c>
      <c r="Q162" s="18" t="s">
        <v>1052</v>
      </c>
    </row>
    <row r="163" spans="1:18">
      <c r="A163" s="6" t="s">
        <v>1060</v>
      </c>
      <c r="B163" t="b">
        <v>1</v>
      </c>
      <c r="C163" t="s">
        <v>945</v>
      </c>
      <c r="D163" s="2" t="s">
        <v>486</v>
      </c>
      <c r="E163">
        <v>2</v>
      </c>
      <c r="F163" t="s">
        <v>730</v>
      </c>
      <c r="G163" t="s">
        <v>499</v>
      </c>
      <c r="H163" t="s">
        <v>731</v>
      </c>
      <c r="I163" t="s">
        <v>731</v>
      </c>
      <c r="N163" t="s">
        <v>510</v>
      </c>
      <c r="O163" t="b">
        <v>0</v>
      </c>
      <c r="P163" t="b">
        <v>0</v>
      </c>
      <c r="Q163" t="s">
        <v>1062</v>
      </c>
    </row>
    <row r="164" spans="1:18">
      <c r="A164" t="s">
        <v>962</v>
      </c>
      <c r="B164" t="b">
        <v>1</v>
      </c>
      <c r="C164" t="s">
        <v>945</v>
      </c>
      <c r="D164" s="2" t="s">
        <v>915</v>
      </c>
      <c r="E164">
        <v>0</v>
      </c>
      <c r="F164" t="s">
        <v>696</v>
      </c>
      <c r="G164" t="s">
        <v>499</v>
      </c>
      <c r="H164" t="s">
        <v>499</v>
      </c>
      <c r="I164" s="2" t="s">
        <v>495</v>
      </c>
      <c r="J164">
        <v>0</v>
      </c>
      <c r="P164" t="b">
        <v>0</v>
      </c>
    </row>
    <row r="165" spans="1:18">
      <c r="A165" t="s">
        <v>962</v>
      </c>
      <c r="B165" t="b">
        <v>1</v>
      </c>
      <c r="C165" t="s">
        <v>945</v>
      </c>
      <c r="D165" s="2" t="s">
        <v>725</v>
      </c>
      <c r="E165">
        <v>1</v>
      </c>
      <c r="F165" t="s">
        <v>696</v>
      </c>
      <c r="G165" t="s">
        <v>499</v>
      </c>
      <c r="H165" t="s">
        <v>499</v>
      </c>
      <c r="I165" s="2" t="s">
        <v>495</v>
      </c>
      <c r="J165">
        <v>0</v>
      </c>
      <c r="P165" t="b">
        <v>0</v>
      </c>
    </row>
    <row r="166" spans="1:18">
      <c r="A166" t="s">
        <v>983</v>
      </c>
      <c r="B166" t="b">
        <v>1</v>
      </c>
      <c r="C166" t="s">
        <v>945</v>
      </c>
      <c r="D166" t="s">
        <v>804</v>
      </c>
      <c r="E166">
        <v>0</v>
      </c>
      <c r="F166" t="s">
        <v>804</v>
      </c>
      <c r="G166" t="s">
        <v>804</v>
      </c>
      <c r="H166" t="s">
        <v>804</v>
      </c>
      <c r="I166" t="s">
        <v>804</v>
      </c>
      <c r="L166">
        <v>2</v>
      </c>
      <c r="M166" s="12"/>
      <c r="P166" t="b">
        <v>0</v>
      </c>
      <c r="Q166"/>
    </row>
    <row r="167" spans="1:18">
      <c r="A167" t="s">
        <v>984</v>
      </c>
      <c r="B167" t="b">
        <v>1</v>
      </c>
      <c r="C167" t="s">
        <v>945</v>
      </c>
      <c r="D167" s="2" t="s">
        <v>914</v>
      </c>
      <c r="E167">
        <v>0</v>
      </c>
      <c r="F167" s="2" t="s">
        <v>914</v>
      </c>
      <c r="G167" s="2" t="s">
        <v>914</v>
      </c>
      <c r="H167" s="2" t="s">
        <v>914</v>
      </c>
      <c r="I167" s="2" t="s">
        <v>914</v>
      </c>
      <c r="P167" t="b">
        <v>0</v>
      </c>
      <c r="Q167" s="12"/>
    </row>
    <row r="168" spans="1:18">
      <c r="A168" t="s">
        <v>417</v>
      </c>
      <c r="B168" t="b">
        <v>1</v>
      </c>
      <c r="C168" t="s">
        <v>417</v>
      </c>
      <c r="D168" s="2" t="s">
        <v>728</v>
      </c>
      <c r="E168">
        <v>0</v>
      </c>
      <c r="F168" t="s">
        <v>696</v>
      </c>
      <c r="G168" t="s">
        <v>499</v>
      </c>
      <c r="H168" t="s">
        <v>499</v>
      </c>
      <c r="I168" s="2" t="s">
        <v>495</v>
      </c>
      <c r="J168">
        <v>0</v>
      </c>
      <c r="L168">
        <v>5</v>
      </c>
      <c r="P168" t="b">
        <v>0</v>
      </c>
    </row>
    <row r="169" spans="1:18">
      <c r="A169" t="s">
        <v>417</v>
      </c>
      <c r="B169" t="b">
        <v>1</v>
      </c>
      <c r="C169" t="s">
        <v>417</v>
      </c>
      <c r="D169" t="s">
        <v>729</v>
      </c>
      <c r="E169">
        <v>1</v>
      </c>
      <c r="F169" t="s">
        <v>730</v>
      </c>
      <c r="G169" t="s">
        <v>499</v>
      </c>
      <c r="H169" t="s">
        <v>731</v>
      </c>
      <c r="I169" t="s">
        <v>731</v>
      </c>
      <c r="N169" t="s">
        <v>510</v>
      </c>
      <c r="O169" t="b">
        <v>1</v>
      </c>
      <c r="P169" t="b">
        <v>0</v>
      </c>
      <c r="Q169" t="s">
        <v>417</v>
      </c>
    </row>
    <row r="170" spans="1:18">
      <c r="A170" t="s">
        <v>569</v>
      </c>
      <c r="B170" t="b">
        <v>1</v>
      </c>
      <c r="C170" t="s">
        <v>417</v>
      </c>
      <c r="D170" s="2" t="s">
        <v>985</v>
      </c>
      <c r="E170">
        <v>0</v>
      </c>
      <c r="F170" t="s">
        <v>474</v>
      </c>
      <c r="G170" t="s">
        <v>473</v>
      </c>
      <c r="H170" t="s">
        <v>473</v>
      </c>
      <c r="I170" s="2" t="s">
        <v>494</v>
      </c>
      <c r="P170" t="b">
        <v>1</v>
      </c>
      <c r="Q170" s="1" t="s">
        <v>631</v>
      </c>
    </row>
    <row r="171" spans="1:18">
      <c r="A171" t="s">
        <v>571</v>
      </c>
      <c r="B171" t="b">
        <v>1</v>
      </c>
      <c r="C171" t="s">
        <v>417</v>
      </c>
      <c r="D171" s="2" t="s">
        <v>986</v>
      </c>
      <c r="E171">
        <v>0</v>
      </c>
      <c r="F171" t="s">
        <v>474</v>
      </c>
      <c r="G171" t="s">
        <v>473</v>
      </c>
      <c r="H171" t="s">
        <v>473</v>
      </c>
      <c r="I171" s="2" t="s">
        <v>494</v>
      </c>
      <c r="P171" t="b">
        <v>1</v>
      </c>
      <c r="Q171" s="1" t="s">
        <v>631</v>
      </c>
    </row>
    <row r="172" spans="1:18">
      <c r="A172" t="s">
        <v>570</v>
      </c>
      <c r="B172" t="b">
        <v>1</v>
      </c>
      <c r="C172" t="s">
        <v>417</v>
      </c>
      <c r="D172" s="2" t="s">
        <v>987</v>
      </c>
      <c r="E172">
        <v>0</v>
      </c>
      <c r="F172" t="s">
        <v>474</v>
      </c>
      <c r="G172" t="s">
        <v>473</v>
      </c>
      <c r="H172" t="s">
        <v>473</v>
      </c>
      <c r="I172" s="2" t="s">
        <v>494</v>
      </c>
      <c r="P172" t="b">
        <v>1</v>
      </c>
      <c r="Q172" s="1" t="s">
        <v>631</v>
      </c>
    </row>
    <row r="173" spans="1:18">
      <c r="A173" s="28" t="s">
        <v>563</v>
      </c>
      <c r="B173" t="b">
        <v>1</v>
      </c>
      <c r="C173" t="s">
        <v>417</v>
      </c>
      <c r="D173" s="2" t="s">
        <v>988</v>
      </c>
      <c r="E173">
        <v>0</v>
      </c>
      <c r="F173" t="s">
        <v>474</v>
      </c>
      <c r="G173" t="s">
        <v>473</v>
      </c>
      <c r="H173" t="s">
        <v>473</v>
      </c>
      <c r="I173" s="2" t="s">
        <v>494</v>
      </c>
      <c r="K173" t="s">
        <v>918</v>
      </c>
      <c r="P173" t="b">
        <v>1</v>
      </c>
      <c r="Q173" s="1" t="s">
        <v>631</v>
      </c>
      <c r="R173" t="s">
        <v>918</v>
      </c>
    </row>
    <row r="174" spans="1:18">
      <c r="A174" s="28" t="s">
        <v>564</v>
      </c>
      <c r="B174" t="b">
        <v>1</v>
      </c>
      <c r="C174" t="s">
        <v>417</v>
      </c>
      <c r="D174" s="2" t="s">
        <v>989</v>
      </c>
      <c r="E174">
        <v>0</v>
      </c>
      <c r="F174" t="s">
        <v>474</v>
      </c>
      <c r="G174" t="s">
        <v>473</v>
      </c>
      <c r="H174" t="s">
        <v>473</v>
      </c>
      <c r="I174" s="2" t="s">
        <v>494</v>
      </c>
      <c r="K174" t="s">
        <v>918</v>
      </c>
      <c r="P174" t="b">
        <v>1</v>
      </c>
      <c r="Q174" s="1" t="s">
        <v>631</v>
      </c>
      <c r="R174" t="s">
        <v>918</v>
      </c>
    </row>
    <row r="175" spans="1:18">
      <c r="A175" s="28" t="s">
        <v>565</v>
      </c>
      <c r="B175" t="b">
        <v>1</v>
      </c>
      <c r="C175" t="s">
        <v>417</v>
      </c>
      <c r="D175" s="2" t="s">
        <v>990</v>
      </c>
      <c r="E175">
        <v>0</v>
      </c>
      <c r="F175" t="s">
        <v>474</v>
      </c>
      <c r="G175" t="s">
        <v>473</v>
      </c>
      <c r="H175" t="s">
        <v>473</v>
      </c>
      <c r="I175" s="2" t="s">
        <v>494</v>
      </c>
      <c r="K175" t="s">
        <v>918</v>
      </c>
      <c r="P175" t="b">
        <v>1</v>
      </c>
      <c r="Q175" s="1" t="s">
        <v>631</v>
      </c>
      <c r="R175" t="s">
        <v>918</v>
      </c>
    </row>
    <row r="176" spans="1:18">
      <c r="A176" s="28" t="s">
        <v>566</v>
      </c>
      <c r="B176" t="b">
        <v>1</v>
      </c>
      <c r="C176" t="s">
        <v>417</v>
      </c>
      <c r="D176" s="2" t="s">
        <v>991</v>
      </c>
      <c r="E176">
        <v>0</v>
      </c>
      <c r="F176" t="s">
        <v>474</v>
      </c>
      <c r="G176" t="s">
        <v>473</v>
      </c>
      <c r="H176" t="s">
        <v>473</v>
      </c>
      <c r="I176" s="2" t="s">
        <v>494</v>
      </c>
      <c r="K176" t="s">
        <v>918</v>
      </c>
      <c r="P176" t="b">
        <v>1</v>
      </c>
      <c r="Q176" s="1" t="s">
        <v>631</v>
      </c>
      <c r="R176" t="s">
        <v>918</v>
      </c>
    </row>
    <row r="177" spans="1:18">
      <c r="A177" s="28" t="s">
        <v>567</v>
      </c>
      <c r="B177" t="b">
        <v>1</v>
      </c>
      <c r="C177" t="s">
        <v>417</v>
      </c>
      <c r="D177" s="2" t="s">
        <v>992</v>
      </c>
      <c r="E177">
        <v>0</v>
      </c>
      <c r="F177" t="s">
        <v>474</v>
      </c>
      <c r="G177" t="s">
        <v>473</v>
      </c>
      <c r="H177" t="s">
        <v>473</v>
      </c>
      <c r="I177" s="2" t="s">
        <v>494</v>
      </c>
      <c r="K177" t="s">
        <v>918</v>
      </c>
      <c r="P177" t="b">
        <v>1</v>
      </c>
      <c r="Q177" s="1" t="s">
        <v>631</v>
      </c>
      <c r="R177" t="s">
        <v>918</v>
      </c>
    </row>
    <row r="178" spans="1:18">
      <c r="A178" s="28" t="s">
        <v>568</v>
      </c>
      <c r="B178" t="b">
        <v>1</v>
      </c>
      <c r="C178" t="s">
        <v>417</v>
      </c>
      <c r="D178" s="2" t="s">
        <v>993</v>
      </c>
      <c r="E178">
        <v>0</v>
      </c>
      <c r="F178" t="s">
        <v>474</v>
      </c>
      <c r="G178" t="s">
        <v>473</v>
      </c>
      <c r="H178" t="s">
        <v>473</v>
      </c>
      <c r="I178" s="2" t="s">
        <v>494</v>
      </c>
      <c r="K178" t="s">
        <v>918</v>
      </c>
      <c r="P178" t="b">
        <v>1</v>
      </c>
      <c r="Q178" s="1" t="s">
        <v>631</v>
      </c>
      <c r="R178" t="s">
        <v>918</v>
      </c>
    </row>
    <row r="179" spans="1:18">
      <c r="A179" s="28" t="s">
        <v>573</v>
      </c>
      <c r="B179" t="b">
        <v>1</v>
      </c>
      <c r="C179" t="s">
        <v>417</v>
      </c>
      <c r="D179" s="2" t="s">
        <v>994</v>
      </c>
      <c r="E179">
        <v>0</v>
      </c>
      <c r="F179" t="s">
        <v>474</v>
      </c>
      <c r="G179" t="s">
        <v>473</v>
      </c>
      <c r="H179" t="s">
        <v>473</v>
      </c>
      <c r="I179" s="2" t="s">
        <v>494</v>
      </c>
      <c r="P179" t="b">
        <v>1</v>
      </c>
      <c r="Q179" s="1" t="s">
        <v>631</v>
      </c>
    </row>
    <row r="180" spans="1:18">
      <c r="A180" s="28" t="s">
        <v>572</v>
      </c>
      <c r="B180" t="b">
        <v>1</v>
      </c>
      <c r="C180" t="s">
        <v>417</v>
      </c>
      <c r="D180" s="2" t="s">
        <v>995</v>
      </c>
      <c r="E180">
        <v>0</v>
      </c>
      <c r="F180" t="s">
        <v>474</v>
      </c>
      <c r="G180" t="s">
        <v>473</v>
      </c>
      <c r="H180" t="s">
        <v>473</v>
      </c>
      <c r="I180" s="2" t="s">
        <v>494</v>
      </c>
      <c r="P180" t="b">
        <v>1</v>
      </c>
      <c r="Q180" s="1" t="s">
        <v>631</v>
      </c>
    </row>
    <row r="181" spans="1:18">
      <c r="A181" s="28" t="s">
        <v>574</v>
      </c>
      <c r="B181" t="b">
        <v>1</v>
      </c>
      <c r="C181" t="s">
        <v>417</v>
      </c>
      <c r="D181" s="2" t="s">
        <v>996</v>
      </c>
      <c r="E181">
        <v>0</v>
      </c>
      <c r="F181" t="s">
        <v>474</v>
      </c>
      <c r="G181" t="s">
        <v>473</v>
      </c>
      <c r="H181" t="s">
        <v>473</v>
      </c>
      <c r="I181" s="2" t="s">
        <v>494</v>
      </c>
      <c r="P181" t="b">
        <v>1</v>
      </c>
      <c r="Q181" s="1" t="s">
        <v>631</v>
      </c>
    </row>
    <row r="182" spans="1:18">
      <c r="A182" s="28" t="s">
        <v>1289</v>
      </c>
      <c r="B182" t="b">
        <v>1</v>
      </c>
      <c r="C182" t="s">
        <v>417</v>
      </c>
      <c r="D182" s="2" t="s">
        <v>997</v>
      </c>
      <c r="E182">
        <v>0</v>
      </c>
      <c r="F182" t="s">
        <v>474</v>
      </c>
      <c r="G182" t="s">
        <v>473</v>
      </c>
      <c r="H182" t="s">
        <v>473</v>
      </c>
      <c r="I182" s="2" t="s">
        <v>494</v>
      </c>
      <c r="P182" t="b">
        <v>1</v>
      </c>
      <c r="Q182" s="1" t="s">
        <v>631</v>
      </c>
    </row>
    <row r="183" spans="1:18">
      <c r="A183" s="28" t="s">
        <v>1290</v>
      </c>
      <c r="B183" t="b">
        <v>1</v>
      </c>
      <c r="C183" t="s">
        <v>417</v>
      </c>
      <c r="D183" s="2" t="s">
        <v>998</v>
      </c>
      <c r="E183">
        <v>0</v>
      </c>
      <c r="F183" t="s">
        <v>474</v>
      </c>
      <c r="G183" t="s">
        <v>473</v>
      </c>
      <c r="H183" t="s">
        <v>473</v>
      </c>
      <c r="I183" s="2" t="s">
        <v>494</v>
      </c>
      <c r="P183" t="b">
        <v>1</v>
      </c>
      <c r="Q183" s="1" t="s">
        <v>631</v>
      </c>
    </row>
    <row r="184" spans="1:18">
      <c r="A184" s="28" t="s">
        <v>1291</v>
      </c>
      <c r="B184" t="b">
        <v>1</v>
      </c>
      <c r="C184" t="s">
        <v>417</v>
      </c>
      <c r="D184" s="2" t="s">
        <v>999</v>
      </c>
      <c r="E184">
        <v>0</v>
      </c>
      <c r="F184" t="s">
        <v>474</v>
      </c>
      <c r="G184" t="s">
        <v>473</v>
      </c>
      <c r="H184" t="s">
        <v>473</v>
      </c>
      <c r="I184" s="2" t="s">
        <v>494</v>
      </c>
      <c r="P184" t="b">
        <v>1</v>
      </c>
      <c r="Q184" s="1" t="s">
        <v>631</v>
      </c>
    </row>
    <row r="185" spans="1:18">
      <c r="A185" t="s">
        <v>460</v>
      </c>
      <c r="B185" t="b">
        <v>1</v>
      </c>
      <c r="C185" t="s">
        <v>417</v>
      </c>
      <c r="D185" s="2" t="s">
        <v>915</v>
      </c>
      <c r="E185">
        <v>0</v>
      </c>
      <c r="F185" t="s">
        <v>696</v>
      </c>
      <c r="G185" t="s">
        <v>499</v>
      </c>
      <c r="H185" t="s">
        <v>499</v>
      </c>
      <c r="I185" s="2" t="s">
        <v>495</v>
      </c>
      <c r="J185">
        <v>11</v>
      </c>
      <c r="P185" t="b">
        <v>0</v>
      </c>
    </row>
    <row r="186" spans="1:18">
      <c r="A186" t="s">
        <v>460</v>
      </c>
      <c r="B186" t="b">
        <v>1</v>
      </c>
      <c r="C186" t="s">
        <v>417</v>
      </c>
      <c r="D186" s="2" t="s">
        <v>716</v>
      </c>
      <c r="E186">
        <v>1</v>
      </c>
      <c r="F186" t="s">
        <v>696</v>
      </c>
      <c r="G186" t="s">
        <v>499</v>
      </c>
      <c r="H186" t="s">
        <v>499</v>
      </c>
      <c r="I186" s="2" t="s">
        <v>495</v>
      </c>
      <c r="J186">
        <v>0</v>
      </c>
      <c r="P186" t="b">
        <v>0</v>
      </c>
    </row>
    <row r="187" spans="1:18">
      <c r="A187" t="s">
        <v>1000</v>
      </c>
      <c r="B187" t="b">
        <v>1</v>
      </c>
      <c r="C187" t="s">
        <v>417</v>
      </c>
      <c r="D187" t="s">
        <v>804</v>
      </c>
      <c r="E187">
        <v>0</v>
      </c>
      <c r="F187" t="s">
        <v>804</v>
      </c>
      <c r="G187" t="s">
        <v>804</v>
      </c>
      <c r="H187" t="s">
        <v>804</v>
      </c>
      <c r="I187" t="s">
        <v>804</v>
      </c>
      <c r="L187">
        <v>2</v>
      </c>
      <c r="P187" t="b">
        <v>0</v>
      </c>
    </row>
    <row r="188" spans="1:18">
      <c r="A188" t="s">
        <v>1001</v>
      </c>
      <c r="B188" t="b">
        <v>1</v>
      </c>
      <c r="C188" t="s">
        <v>1001</v>
      </c>
      <c r="D188" s="2" t="s">
        <v>728</v>
      </c>
      <c r="E188">
        <v>0</v>
      </c>
      <c r="F188" t="s">
        <v>696</v>
      </c>
      <c r="G188" t="s">
        <v>499</v>
      </c>
      <c r="H188" t="s">
        <v>499</v>
      </c>
      <c r="I188" s="2" t="s">
        <v>495</v>
      </c>
      <c r="J188">
        <v>0</v>
      </c>
      <c r="L188">
        <v>5</v>
      </c>
      <c r="P188" t="b">
        <v>0</v>
      </c>
    </row>
    <row r="189" spans="1:18">
      <c r="A189" t="s">
        <v>1001</v>
      </c>
      <c r="B189" t="b">
        <v>1</v>
      </c>
      <c r="C189" t="s">
        <v>1001</v>
      </c>
      <c r="D189" t="s">
        <v>729</v>
      </c>
      <c r="E189">
        <v>1</v>
      </c>
      <c r="F189" t="s">
        <v>730</v>
      </c>
      <c r="G189" t="s">
        <v>499</v>
      </c>
      <c r="H189" t="s">
        <v>731</v>
      </c>
      <c r="I189" t="s">
        <v>731</v>
      </c>
      <c r="N189" t="s">
        <v>510</v>
      </c>
      <c r="O189" t="b">
        <v>1</v>
      </c>
      <c r="P189" t="b">
        <v>0</v>
      </c>
      <c r="Q189" t="s">
        <v>1001</v>
      </c>
    </row>
    <row r="190" spans="1:18">
      <c r="A190" t="s">
        <v>830</v>
      </c>
      <c r="B190" t="b">
        <v>1</v>
      </c>
      <c r="C190" t="s">
        <v>1001</v>
      </c>
      <c r="D190" s="2" t="s">
        <v>1004</v>
      </c>
      <c r="E190">
        <v>0</v>
      </c>
      <c r="F190" t="s">
        <v>474</v>
      </c>
      <c r="G190" t="s">
        <v>473</v>
      </c>
      <c r="H190" t="s">
        <v>473</v>
      </c>
      <c r="I190" s="2" t="s">
        <v>494</v>
      </c>
      <c r="P190" t="b">
        <v>1</v>
      </c>
      <c r="Q190" s="1" t="s">
        <v>631</v>
      </c>
    </row>
    <row r="191" spans="1:18">
      <c r="A191" t="s">
        <v>831</v>
      </c>
      <c r="B191" t="b">
        <v>1</v>
      </c>
      <c r="C191" t="s">
        <v>1001</v>
      </c>
      <c r="D191" s="2" t="s">
        <v>1005</v>
      </c>
      <c r="E191">
        <v>0</v>
      </c>
      <c r="F191" t="s">
        <v>474</v>
      </c>
      <c r="G191" t="s">
        <v>473</v>
      </c>
      <c r="H191" t="s">
        <v>473</v>
      </c>
      <c r="I191" s="2" t="s">
        <v>494</v>
      </c>
      <c r="P191" t="b">
        <v>1</v>
      </c>
      <c r="Q191" s="1" t="s">
        <v>631</v>
      </c>
    </row>
    <row r="192" spans="1:18">
      <c r="A192" t="s">
        <v>832</v>
      </c>
      <c r="B192" t="b">
        <v>1</v>
      </c>
      <c r="C192" t="s">
        <v>1001</v>
      </c>
      <c r="D192" s="2" t="s">
        <v>1006</v>
      </c>
      <c r="E192">
        <v>0</v>
      </c>
      <c r="F192" t="s">
        <v>474</v>
      </c>
      <c r="G192" t="s">
        <v>473</v>
      </c>
      <c r="H192" t="s">
        <v>473</v>
      </c>
      <c r="I192" s="2" t="s">
        <v>494</v>
      </c>
      <c r="P192" t="b">
        <v>1</v>
      </c>
      <c r="Q192" s="1" t="s">
        <v>631</v>
      </c>
    </row>
    <row r="193" spans="1:17">
      <c r="A193" t="s">
        <v>828</v>
      </c>
      <c r="B193" t="b">
        <v>1</v>
      </c>
      <c r="C193" t="s">
        <v>1001</v>
      </c>
      <c r="D193" s="2" t="s">
        <v>1002</v>
      </c>
      <c r="E193">
        <v>0</v>
      </c>
      <c r="F193" t="s">
        <v>474</v>
      </c>
      <c r="G193" t="s">
        <v>473</v>
      </c>
      <c r="H193" t="s">
        <v>473</v>
      </c>
      <c r="I193" s="2" t="s">
        <v>494</v>
      </c>
      <c r="P193" t="b">
        <v>1</v>
      </c>
      <c r="Q193" s="1" t="s">
        <v>631</v>
      </c>
    </row>
    <row r="194" spans="1:17">
      <c r="A194" t="s">
        <v>829</v>
      </c>
      <c r="B194" t="b">
        <v>1</v>
      </c>
      <c r="C194" t="s">
        <v>1001</v>
      </c>
      <c r="D194" s="2" t="s">
        <v>1003</v>
      </c>
      <c r="E194">
        <v>0</v>
      </c>
      <c r="F194" t="s">
        <v>474</v>
      </c>
      <c r="G194" t="s">
        <v>473</v>
      </c>
      <c r="H194" t="s">
        <v>473</v>
      </c>
      <c r="I194" s="2" t="s">
        <v>494</v>
      </c>
      <c r="P194" t="b">
        <v>1</v>
      </c>
      <c r="Q194" s="1" t="s">
        <v>631</v>
      </c>
    </row>
    <row r="195" spans="1:17">
      <c r="A195" t="s">
        <v>1007</v>
      </c>
      <c r="B195" t="b">
        <v>1</v>
      </c>
      <c r="C195" t="s">
        <v>1001</v>
      </c>
      <c r="D195" s="2" t="s">
        <v>915</v>
      </c>
      <c r="E195">
        <v>0</v>
      </c>
      <c r="F195" t="s">
        <v>696</v>
      </c>
      <c r="G195" t="s">
        <v>499</v>
      </c>
      <c r="H195" t="s">
        <v>499</v>
      </c>
      <c r="I195" s="2" t="s">
        <v>495</v>
      </c>
      <c r="J195">
        <v>12</v>
      </c>
      <c r="P195" t="b">
        <v>0</v>
      </c>
    </row>
    <row r="196" spans="1:17">
      <c r="A196" t="s">
        <v>1007</v>
      </c>
      <c r="B196" t="b">
        <v>1</v>
      </c>
      <c r="C196" t="s">
        <v>1001</v>
      </c>
      <c r="D196" s="2" t="s">
        <v>716</v>
      </c>
      <c r="E196">
        <v>1</v>
      </c>
      <c r="F196" t="s">
        <v>696</v>
      </c>
      <c r="G196" t="s">
        <v>499</v>
      </c>
      <c r="H196" t="s">
        <v>499</v>
      </c>
      <c r="I196" s="2" t="s">
        <v>495</v>
      </c>
      <c r="J196">
        <v>0</v>
      </c>
      <c r="P196" t="b">
        <v>0</v>
      </c>
    </row>
    <row r="197" spans="1:17">
      <c r="A197" t="s">
        <v>1055</v>
      </c>
      <c r="B197" t="b">
        <v>1</v>
      </c>
      <c r="C197" t="s">
        <v>1001</v>
      </c>
      <c r="D197" t="s">
        <v>804</v>
      </c>
      <c r="E197">
        <v>0</v>
      </c>
      <c r="F197" t="s">
        <v>804</v>
      </c>
      <c r="G197" t="s">
        <v>804</v>
      </c>
      <c r="H197" t="s">
        <v>804</v>
      </c>
      <c r="I197" t="s">
        <v>804</v>
      </c>
      <c r="L197">
        <v>2</v>
      </c>
      <c r="P197" t="b">
        <v>0</v>
      </c>
    </row>
    <row r="198" spans="1:17">
      <c r="A198" t="s">
        <v>1008</v>
      </c>
      <c r="B198" t="b">
        <v>1</v>
      </c>
      <c r="C198" t="s">
        <v>1008</v>
      </c>
      <c r="D198" s="2" t="s">
        <v>728</v>
      </c>
      <c r="E198">
        <v>0</v>
      </c>
      <c r="F198" t="s">
        <v>696</v>
      </c>
      <c r="G198" t="s">
        <v>499</v>
      </c>
      <c r="H198" t="s">
        <v>499</v>
      </c>
      <c r="I198" s="2" t="s">
        <v>495</v>
      </c>
      <c r="J198">
        <v>0</v>
      </c>
      <c r="L198">
        <v>5</v>
      </c>
      <c r="P198" t="b">
        <v>0</v>
      </c>
    </row>
    <row r="199" spans="1:17">
      <c r="A199" t="s">
        <v>1008</v>
      </c>
      <c r="B199" t="b">
        <v>1</v>
      </c>
      <c r="C199" t="s">
        <v>1008</v>
      </c>
      <c r="D199" t="s">
        <v>729</v>
      </c>
      <c r="E199">
        <v>1</v>
      </c>
      <c r="F199" t="s">
        <v>730</v>
      </c>
      <c r="G199" t="s">
        <v>499</v>
      </c>
      <c r="H199" t="s">
        <v>731</v>
      </c>
      <c r="I199" t="s">
        <v>731</v>
      </c>
      <c r="N199" t="s">
        <v>510</v>
      </c>
      <c r="O199" t="b">
        <v>1</v>
      </c>
      <c r="P199" t="b">
        <v>0</v>
      </c>
      <c r="Q199" t="s">
        <v>1008</v>
      </c>
    </row>
    <row r="200" spans="1:17">
      <c r="A200" t="s">
        <v>562</v>
      </c>
      <c r="B200" t="b">
        <v>1</v>
      </c>
      <c r="C200" t="s">
        <v>1008</v>
      </c>
      <c r="D200" s="2" t="s">
        <v>1009</v>
      </c>
      <c r="E200">
        <v>0</v>
      </c>
      <c r="F200" t="s">
        <v>474</v>
      </c>
      <c r="G200" t="s">
        <v>364</v>
      </c>
      <c r="H200" t="s">
        <v>364</v>
      </c>
      <c r="I200" t="s">
        <v>364</v>
      </c>
      <c r="M200" t="s">
        <v>905</v>
      </c>
      <c r="P200" t="b">
        <v>1</v>
      </c>
    </row>
    <row r="201" spans="1:17">
      <c r="A201" t="s">
        <v>1010</v>
      </c>
      <c r="B201" t="b">
        <v>1</v>
      </c>
      <c r="C201" t="s">
        <v>1008</v>
      </c>
      <c r="D201" s="2" t="s">
        <v>915</v>
      </c>
      <c r="E201">
        <v>0</v>
      </c>
      <c r="F201" t="s">
        <v>696</v>
      </c>
      <c r="G201" t="s">
        <v>499</v>
      </c>
      <c r="H201" t="s">
        <v>499</v>
      </c>
      <c r="I201" s="2" t="s">
        <v>495</v>
      </c>
      <c r="J201">
        <v>13</v>
      </c>
      <c r="P201" t="b">
        <v>0</v>
      </c>
    </row>
    <row r="202" spans="1:17">
      <c r="A202" t="s">
        <v>1010</v>
      </c>
      <c r="B202" t="b">
        <v>1</v>
      </c>
      <c r="C202" t="s">
        <v>1008</v>
      </c>
      <c r="D202" s="2" t="s">
        <v>716</v>
      </c>
      <c r="E202">
        <v>1</v>
      </c>
      <c r="F202" t="s">
        <v>696</v>
      </c>
      <c r="G202" t="s">
        <v>499</v>
      </c>
      <c r="H202" t="s">
        <v>499</v>
      </c>
      <c r="I202" s="2" t="s">
        <v>495</v>
      </c>
      <c r="J202">
        <v>0</v>
      </c>
      <c r="P202" t="b">
        <v>0</v>
      </c>
    </row>
    <row r="203" spans="1:17">
      <c r="A203" t="s">
        <v>1057</v>
      </c>
      <c r="B203" t="b">
        <v>1</v>
      </c>
      <c r="C203" t="s">
        <v>1008</v>
      </c>
      <c r="D203" t="s">
        <v>804</v>
      </c>
      <c r="E203">
        <v>0</v>
      </c>
      <c r="F203" t="s">
        <v>804</v>
      </c>
      <c r="G203" t="s">
        <v>804</v>
      </c>
      <c r="H203" t="s">
        <v>804</v>
      </c>
      <c r="I203" t="s">
        <v>804</v>
      </c>
      <c r="L203">
        <v>2</v>
      </c>
      <c r="P203" t="b">
        <v>0</v>
      </c>
    </row>
    <row r="204" spans="1:17">
      <c r="A204" t="s">
        <v>1011</v>
      </c>
      <c r="B204" t="b">
        <v>1</v>
      </c>
      <c r="C204" t="s">
        <v>1011</v>
      </c>
      <c r="D204" s="2" t="s">
        <v>728</v>
      </c>
      <c r="E204">
        <v>0</v>
      </c>
      <c r="F204" t="s">
        <v>696</v>
      </c>
      <c r="G204" t="s">
        <v>499</v>
      </c>
      <c r="H204" t="s">
        <v>499</v>
      </c>
      <c r="I204" s="2" t="s">
        <v>495</v>
      </c>
      <c r="J204">
        <v>0</v>
      </c>
      <c r="L204">
        <v>5</v>
      </c>
      <c r="P204" t="b">
        <v>0</v>
      </c>
    </row>
    <row r="205" spans="1:17">
      <c r="A205" t="s">
        <v>1011</v>
      </c>
      <c r="B205" t="b">
        <v>1</v>
      </c>
      <c r="C205" t="s">
        <v>1011</v>
      </c>
      <c r="D205" t="s">
        <v>729</v>
      </c>
      <c r="E205">
        <v>1</v>
      </c>
      <c r="F205" t="s">
        <v>730</v>
      </c>
      <c r="G205" t="s">
        <v>499</v>
      </c>
      <c r="H205" t="s">
        <v>731</v>
      </c>
      <c r="I205" t="s">
        <v>731</v>
      </c>
      <c r="N205" t="s">
        <v>510</v>
      </c>
      <c r="O205" t="b">
        <v>1</v>
      </c>
      <c r="P205" t="b">
        <v>0</v>
      </c>
      <c r="Q205" t="s">
        <v>1011</v>
      </c>
    </row>
    <row r="206" spans="1:17">
      <c r="A206" t="s">
        <v>833</v>
      </c>
      <c r="B206" t="b">
        <v>1</v>
      </c>
      <c r="C206" t="s">
        <v>1011</v>
      </c>
      <c r="D206" s="2" t="s">
        <v>1013</v>
      </c>
      <c r="E206">
        <v>0</v>
      </c>
      <c r="F206" t="s">
        <v>474</v>
      </c>
      <c r="G206" t="s">
        <v>473</v>
      </c>
      <c r="H206" t="s">
        <v>473</v>
      </c>
      <c r="I206" s="2" t="s">
        <v>494</v>
      </c>
      <c r="P206" t="b">
        <v>1</v>
      </c>
      <c r="Q206" s="1" t="s">
        <v>631</v>
      </c>
    </row>
    <row r="207" spans="1:17">
      <c r="A207" t="s">
        <v>834</v>
      </c>
      <c r="B207" t="b">
        <v>1</v>
      </c>
      <c r="C207" t="s">
        <v>1011</v>
      </c>
      <c r="D207" s="2" t="s">
        <v>1014</v>
      </c>
      <c r="E207">
        <v>0</v>
      </c>
      <c r="F207" t="s">
        <v>474</v>
      </c>
      <c r="G207" t="s">
        <v>473</v>
      </c>
      <c r="H207" t="s">
        <v>473</v>
      </c>
      <c r="I207" s="2" t="s">
        <v>494</v>
      </c>
      <c r="P207" t="b">
        <v>1</v>
      </c>
      <c r="Q207" s="1" t="s">
        <v>631</v>
      </c>
    </row>
    <row r="208" spans="1:17">
      <c r="A208" t="s">
        <v>835</v>
      </c>
      <c r="B208" t="b">
        <v>1</v>
      </c>
      <c r="C208" t="s">
        <v>1011</v>
      </c>
      <c r="D208" s="2" t="s">
        <v>1015</v>
      </c>
      <c r="E208">
        <v>0</v>
      </c>
      <c r="F208" t="s">
        <v>474</v>
      </c>
      <c r="G208" t="s">
        <v>473</v>
      </c>
      <c r="H208" t="s">
        <v>473</v>
      </c>
      <c r="I208" s="2" t="s">
        <v>494</v>
      </c>
      <c r="P208" t="b">
        <v>1</v>
      </c>
      <c r="Q208" s="1" t="s">
        <v>631</v>
      </c>
    </row>
    <row r="209" spans="1:17">
      <c r="A209" t="s">
        <v>836</v>
      </c>
      <c r="B209" t="b">
        <v>1</v>
      </c>
      <c r="C209" t="s">
        <v>1011</v>
      </c>
      <c r="D209" s="2" t="s">
        <v>1016</v>
      </c>
      <c r="E209">
        <v>0</v>
      </c>
      <c r="F209" t="s">
        <v>474</v>
      </c>
      <c r="G209" t="s">
        <v>473</v>
      </c>
      <c r="H209" t="s">
        <v>473</v>
      </c>
      <c r="I209" s="2" t="s">
        <v>494</v>
      </c>
      <c r="P209" t="b">
        <v>1</v>
      </c>
      <c r="Q209" s="1" t="s">
        <v>631</v>
      </c>
    </row>
    <row r="210" spans="1:17">
      <c r="A210" t="s">
        <v>837</v>
      </c>
      <c r="B210" t="b">
        <v>1</v>
      </c>
      <c r="C210" t="s">
        <v>1011</v>
      </c>
      <c r="D210" s="2" t="s">
        <v>1017</v>
      </c>
      <c r="E210">
        <v>0</v>
      </c>
      <c r="F210" t="s">
        <v>474</v>
      </c>
      <c r="G210" t="s">
        <v>473</v>
      </c>
      <c r="H210" t="s">
        <v>473</v>
      </c>
      <c r="I210" s="2" t="s">
        <v>494</v>
      </c>
      <c r="P210" t="b">
        <v>1</v>
      </c>
      <c r="Q210" s="1" t="s">
        <v>631</v>
      </c>
    </row>
    <row r="211" spans="1:17">
      <c r="A211" t="s">
        <v>838</v>
      </c>
      <c r="B211" t="b">
        <v>1</v>
      </c>
      <c r="C211" t="s">
        <v>1011</v>
      </c>
      <c r="D211" s="2" t="s">
        <v>1018</v>
      </c>
      <c r="E211">
        <v>0</v>
      </c>
      <c r="F211" t="s">
        <v>474</v>
      </c>
      <c r="G211" t="s">
        <v>473</v>
      </c>
      <c r="H211" t="s">
        <v>473</v>
      </c>
      <c r="I211" s="2" t="s">
        <v>494</v>
      </c>
      <c r="P211" t="b">
        <v>1</v>
      </c>
      <c r="Q211" s="1" t="s">
        <v>631</v>
      </c>
    </row>
    <row r="212" spans="1:17">
      <c r="A212" t="s">
        <v>839</v>
      </c>
      <c r="B212" t="b">
        <v>1</v>
      </c>
      <c r="C212" t="s">
        <v>1011</v>
      </c>
      <c r="D212" s="2" t="s">
        <v>1019</v>
      </c>
      <c r="E212">
        <v>0</v>
      </c>
      <c r="F212" t="s">
        <v>474</v>
      </c>
      <c r="G212" t="s">
        <v>473</v>
      </c>
      <c r="H212" t="s">
        <v>473</v>
      </c>
      <c r="I212" s="2" t="s">
        <v>494</v>
      </c>
      <c r="P212" t="b">
        <v>1</v>
      </c>
      <c r="Q212" s="1" t="s">
        <v>631</v>
      </c>
    </row>
    <row r="213" spans="1:17">
      <c r="A213" t="s">
        <v>840</v>
      </c>
      <c r="B213" t="b">
        <v>1</v>
      </c>
      <c r="C213" t="s">
        <v>1011</v>
      </c>
      <c r="D213" s="2" t="s">
        <v>1020</v>
      </c>
      <c r="E213">
        <v>0</v>
      </c>
      <c r="F213" t="s">
        <v>474</v>
      </c>
      <c r="G213" t="s">
        <v>473</v>
      </c>
      <c r="H213" t="s">
        <v>473</v>
      </c>
      <c r="I213" s="2" t="s">
        <v>494</v>
      </c>
      <c r="P213" t="b">
        <v>1</v>
      </c>
      <c r="Q213" s="1" t="s">
        <v>631</v>
      </c>
    </row>
    <row r="214" spans="1:17">
      <c r="A214" t="s">
        <v>841</v>
      </c>
      <c r="B214" t="b">
        <v>1</v>
      </c>
      <c r="C214" t="s">
        <v>1011</v>
      </c>
      <c r="D214" s="2" t="s">
        <v>1021</v>
      </c>
      <c r="E214">
        <v>0</v>
      </c>
      <c r="F214" t="s">
        <v>474</v>
      </c>
      <c r="G214" t="s">
        <v>473</v>
      </c>
      <c r="H214" t="s">
        <v>473</v>
      </c>
      <c r="I214" s="2" t="s">
        <v>494</v>
      </c>
      <c r="P214" t="b">
        <v>1</v>
      </c>
      <c r="Q214" s="1" t="s">
        <v>631</v>
      </c>
    </row>
    <row r="215" spans="1:17">
      <c r="A215" t="s">
        <v>842</v>
      </c>
      <c r="B215" t="b">
        <v>1</v>
      </c>
      <c r="C215" t="s">
        <v>1011</v>
      </c>
      <c r="D215" s="2" t="s">
        <v>1022</v>
      </c>
      <c r="E215">
        <v>0</v>
      </c>
      <c r="F215" t="s">
        <v>474</v>
      </c>
      <c r="G215" t="s">
        <v>473</v>
      </c>
      <c r="H215" t="s">
        <v>473</v>
      </c>
      <c r="I215" s="2" t="s">
        <v>494</v>
      </c>
      <c r="P215" t="b">
        <v>1</v>
      </c>
      <c r="Q215" s="1" t="s">
        <v>631</v>
      </c>
    </row>
    <row r="216" spans="1:17">
      <c r="A216" t="s">
        <v>843</v>
      </c>
      <c r="B216" t="b">
        <v>1</v>
      </c>
      <c r="C216" t="s">
        <v>1011</v>
      </c>
      <c r="D216" s="2" t="s">
        <v>1023</v>
      </c>
      <c r="E216">
        <v>0</v>
      </c>
      <c r="F216" t="s">
        <v>474</v>
      </c>
      <c r="G216" t="s">
        <v>473</v>
      </c>
      <c r="H216" t="s">
        <v>473</v>
      </c>
      <c r="I216" s="2" t="s">
        <v>494</v>
      </c>
      <c r="P216" t="b">
        <v>1</v>
      </c>
      <c r="Q216" s="1" t="s">
        <v>631</v>
      </c>
    </row>
    <row r="217" spans="1:17">
      <c r="A217" t="s">
        <v>845</v>
      </c>
      <c r="B217" t="b">
        <v>1</v>
      </c>
      <c r="C217" t="s">
        <v>1011</v>
      </c>
      <c r="D217" s="2" t="s">
        <v>1024</v>
      </c>
      <c r="E217">
        <v>0</v>
      </c>
      <c r="F217" t="s">
        <v>474</v>
      </c>
      <c r="G217" t="s">
        <v>473</v>
      </c>
      <c r="H217" t="s">
        <v>473</v>
      </c>
      <c r="I217" s="2" t="s">
        <v>494</v>
      </c>
      <c r="P217" t="b">
        <v>1</v>
      </c>
      <c r="Q217" s="1" t="s">
        <v>631</v>
      </c>
    </row>
    <row r="218" spans="1:17">
      <c r="A218" t="s">
        <v>847</v>
      </c>
      <c r="B218" t="b">
        <v>1</v>
      </c>
      <c r="C218" t="s">
        <v>1011</v>
      </c>
      <c r="D218" s="2" t="s">
        <v>1025</v>
      </c>
      <c r="E218">
        <v>0</v>
      </c>
      <c r="F218" t="s">
        <v>474</v>
      </c>
      <c r="G218" t="s">
        <v>473</v>
      </c>
      <c r="H218" t="s">
        <v>473</v>
      </c>
      <c r="I218" s="2" t="s">
        <v>494</v>
      </c>
      <c r="P218" t="b">
        <v>1</v>
      </c>
      <c r="Q218" s="1" t="s">
        <v>631</v>
      </c>
    </row>
    <row r="219" spans="1:17">
      <c r="A219" t="s">
        <v>844</v>
      </c>
      <c r="B219" t="b">
        <v>1</v>
      </c>
      <c r="C219" t="s">
        <v>1011</v>
      </c>
      <c r="D219" s="2" t="s">
        <v>1026</v>
      </c>
      <c r="E219">
        <v>0</v>
      </c>
      <c r="F219" t="s">
        <v>474</v>
      </c>
      <c r="G219" t="s">
        <v>473</v>
      </c>
      <c r="H219" t="s">
        <v>473</v>
      </c>
      <c r="I219" s="2" t="s">
        <v>494</v>
      </c>
      <c r="P219" t="b">
        <v>1</v>
      </c>
      <c r="Q219" s="1" t="s">
        <v>631</v>
      </c>
    </row>
    <row r="220" spans="1:17">
      <c r="A220" t="s">
        <v>846</v>
      </c>
      <c r="B220" t="b">
        <v>1</v>
      </c>
      <c r="C220" t="s">
        <v>1011</v>
      </c>
      <c r="D220" s="2" t="s">
        <v>1027</v>
      </c>
      <c r="E220">
        <v>0</v>
      </c>
      <c r="F220" t="s">
        <v>474</v>
      </c>
      <c r="G220" t="s">
        <v>473</v>
      </c>
      <c r="H220" t="s">
        <v>473</v>
      </c>
      <c r="I220" s="2" t="s">
        <v>494</v>
      </c>
      <c r="P220" t="b">
        <v>1</v>
      </c>
      <c r="Q220" s="1" t="s">
        <v>631</v>
      </c>
    </row>
    <row r="221" spans="1:17">
      <c r="A221" t="s">
        <v>848</v>
      </c>
      <c r="B221" t="b">
        <v>1</v>
      </c>
      <c r="C221" t="s">
        <v>1011</v>
      </c>
      <c r="D221" s="2" t="s">
        <v>1028</v>
      </c>
      <c r="E221">
        <v>0</v>
      </c>
      <c r="F221" t="s">
        <v>474</v>
      </c>
      <c r="G221" t="s">
        <v>473</v>
      </c>
      <c r="H221" t="s">
        <v>473</v>
      </c>
      <c r="I221" s="2" t="s">
        <v>494</v>
      </c>
      <c r="P221" t="b">
        <v>1</v>
      </c>
      <c r="Q221" s="1" t="s">
        <v>631</v>
      </c>
    </row>
    <row r="222" spans="1:17">
      <c r="A222" t="s">
        <v>849</v>
      </c>
      <c r="B222" t="b">
        <v>1</v>
      </c>
      <c r="C222" t="s">
        <v>1011</v>
      </c>
      <c r="D222" s="2" t="s">
        <v>1029</v>
      </c>
      <c r="E222">
        <v>0</v>
      </c>
      <c r="F222" t="s">
        <v>474</v>
      </c>
      <c r="G222" t="s">
        <v>473</v>
      </c>
      <c r="H222" t="s">
        <v>473</v>
      </c>
      <c r="I222" s="2" t="s">
        <v>494</v>
      </c>
      <c r="P222" t="b">
        <v>1</v>
      </c>
      <c r="Q222" s="1" t="s">
        <v>631</v>
      </c>
    </row>
    <row r="223" spans="1:17">
      <c r="A223" t="s">
        <v>851</v>
      </c>
      <c r="B223" t="b">
        <v>1</v>
      </c>
      <c r="C223" t="s">
        <v>1011</v>
      </c>
      <c r="D223" s="2" t="s">
        <v>1030</v>
      </c>
      <c r="E223">
        <v>0</v>
      </c>
      <c r="F223" t="s">
        <v>474</v>
      </c>
      <c r="G223" t="s">
        <v>473</v>
      </c>
      <c r="H223" t="s">
        <v>473</v>
      </c>
      <c r="I223" s="2" t="s">
        <v>494</v>
      </c>
      <c r="P223" t="b">
        <v>1</v>
      </c>
      <c r="Q223" s="1" t="s">
        <v>631</v>
      </c>
    </row>
    <row r="224" spans="1:17">
      <c r="A224" t="s">
        <v>853</v>
      </c>
      <c r="B224" t="b">
        <v>1</v>
      </c>
      <c r="C224" t="s">
        <v>1011</v>
      </c>
      <c r="D224" s="2" t="s">
        <v>1031</v>
      </c>
      <c r="E224">
        <v>0</v>
      </c>
      <c r="F224" t="s">
        <v>474</v>
      </c>
      <c r="G224" t="s">
        <v>473</v>
      </c>
      <c r="H224" t="s">
        <v>473</v>
      </c>
      <c r="I224" s="2" t="s">
        <v>494</v>
      </c>
      <c r="P224" t="b">
        <v>1</v>
      </c>
      <c r="Q224" s="1" t="s">
        <v>631</v>
      </c>
    </row>
    <row r="225" spans="1:17">
      <c r="A225" t="s">
        <v>850</v>
      </c>
      <c r="B225" t="b">
        <v>1</v>
      </c>
      <c r="C225" t="s">
        <v>1011</v>
      </c>
      <c r="D225" s="2" t="s">
        <v>1032</v>
      </c>
      <c r="E225">
        <v>0</v>
      </c>
      <c r="F225" t="s">
        <v>474</v>
      </c>
      <c r="G225" t="s">
        <v>473</v>
      </c>
      <c r="H225" t="s">
        <v>473</v>
      </c>
      <c r="I225" s="2" t="s">
        <v>494</v>
      </c>
      <c r="P225" t="b">
        <v>1</v>
      </c>
      <c r="Q225" s="1" t="s">
        <v>631</v>
      </c>
    </row>
    <row r="226" spans="1:17">
      <c r="A226" t="s">
        <v>852</v>
      </c>
      <c r="B226" t="b">
        <v>1</v>
      </c>
      <c r="C226" t="s">
        <v>1011</v>
      </c>
      <c r="D226" s="2" t="s">
        <v>1033</v>
      </c>
      <c r="E226">
        <v>0</v>
      </c>
      <c r="F226" t="s">
        <v>474</v>
      </c>
      <c r="G226" t="s">
        <v>473</v>
      </c>
      <c r="H226" t="s">
        <v>473</v>
      </c>
      <c r="I226" s="2" t="s">
        <v>494</v>
      </c>
      <c r="P226" t="b">
        <v>1</v>
      </c>
      <c r="Q226" s="1" t="s">
        <v>631</v>
      </c>
    </row>
    <row r="227" spans="1:17">
      <c r="A227" t="s">
        <v>1012</v>
      </c>
      <c r="B227" t="b">
        <v>1</v>
      </c>
      <c r="C227" t="s">
        <v>1011</v>
      </c>
      <c r="D227" s="2" t="s">
        <v>915</v>
      </c>
      <c r="E227">
        <v>0</v>
      </c>
      <c r="F227" t="s">
        <v>696</v>
      </c>
      <c r="G227" t="s">
        <v>499</v>
      </c>
      <c r="H227" t="s">
        <v>499</v>
      </c>
      <c r="I227" s="2" t="s">
        <v>495</v>
      </c>
      <c r="J227">
        <v>14</v>
      </c>
      <c r="P227" t="b">
        <v>0</v>
      </c>
    </row>
    <row r="228" spans="1:17">
      <c r="A228" t="s">
        <v>1012</v>
      </c>
      <c r="B228" t="b">
        <v>1</v>
      </c>
      <c r="C228" t="s">
        <v>1011</v>
      </c>
      <c r="D228" s="2" t="s">
        <v>716</v>
      </c>
      <c r="E228">
        <v>1</v>
      </c>
      <c r="F228" t="s">
        <v>696</v>
      </c>
      <c r="G228" t="s">
        <v>499</v>
      </c>
      <c r="H228" t="s">
        <v>499</v>
      </c>
      <c r="I228" s="2" t="s">
        <v>495</v>
      </c>
      <c r="J228">
        <v>0</v>
      </c>
      <c r="P228" t="b">
        <v>0</v>
      </c>
    </row>
    <row r="229" spans="1:17">
      <c r="A229" t="s">
        <v>1056</v>
      </c>
      <c r="B229" t="b">
        <v>1</v>
      </c>
      <c r="C229" t="s">
        <v>1011</v>
      </c>
      <c r="D229" t="s">
        <v>804</v>
      </c>
      <c r="E229">
        <v>0</v>
      </c>
      <c r="F229" t="s">
        <v>804</v>
      </c>
      <c r="G229" t="s">
        <v>804</v>
      </c>
      <c r="H229" t="s">
        <v>804</v>
      </c>
      <c r="I229" t="s">
        <v>804</v>
      </c>
      <c r="L229">
        <v>2</v>
      </c>
      <c r="P229" t="b">
        <v>0</v>
      </c>
    </row>
    <row r="230" spans="1:17">
      <c r="A230" t="s">
        <v>1034</v>
      </c>
      <c r="B230" t="b">
        <v>1</v>
      </c>
      <c r="C230" t="s">
        <v>1034</v>
      </c>
      <c r="D230" s="2" t="s">
        <v>728</v>
      </c>
      <c r="E230">
        <v>0</v>
      </c>
      <c r="F230" t="s">
        <v>696</v>
      </c>
      <c r="G230" t="s">
        <v>499</v>
      </c>
      <c r="H230" t="s">
        <v>499</v>
      </c>
      <c r="I230" s="2" t="s">
        <v>495</v>
      </c>
      <c r="J230">
        <v>0</v>
      </c>
      <c r="L230">
        <v>5</v>
      </c>
      <c r="P230" t="b">
        <v>0</v>
      </c>
    </row>
    <row r="231" spans="1:17">
      <c r="A231" t="s">
        <v>1034</v>
      </c>
      <c r="B231" t="b">
        <v>1</v>
      </c>
      <c r="C231" t="s">
        <v>1034</v>
      </c>
      <c r="D231" t="s">
        <v>729</v>
      </c>
      <c r="E231">
        <v>1</v>
      </c>
      <c r="F231" t="s">
        <v>730</v>
      </c>
      <c r="G231" t="s">
        <v>499</v>
      </c>
      <c r="H231" t="s">
        <v>731</v>
      </c>
      <c r="I231" t="s">
        <v>731</v>
      </c>
      <c r="N231" t="s">
        <v>510</v>
      </c>
      <c r="O231" t="b">
        <v>1</v>
      </c>
      <c r="P231" t="b">
        <v>0</v>
      </c>
      <c r="Q231" t="s">
        <v>1034</v>
      </c>
    </row>
    <row r="232" spans="1:17">
      <c r="A232" t="s">
        <v>1035</v>
      </c>
      <c r="B232" t="b">
        <v>1</v>
      </c>
      <c r="C232" t="s">
        <v>1034</v>
      </c>
      <c r="D232" s="2" t="s">
        <v>1036</v>
      </c>
      <c r="E232">
        <v>0</v>
      </c>
      <c r="F232" t="s">
        <v>474</v>
      </c>
      <c r="G232" t="s">
        <v>364</v>
      </c>
      <c r="H232" t="s">
        <v>364</v>
      </c>
      <c r="I232" t="s">
        <v>364</v>
      </c>
      <c r="N232" t="s">
        <v>905</v>
      </c>
      <c r="O232" t="b">
        <v>0</v>
      </c>
      <c r="P232" t="b">
        <v>0</v>
      </c>
      <c r="Q232" s="1" t="s">
        <v>597</v>
      </c>
    </row>
    <row r="233" spans="1:17">
      <c r="A233" t="s">
        <v>1058</v>
      </c>
      <c r="B233" t="b">
        <v>1</v>
      </c>
      <c r="C233" t="s">
        <v>1034</v>
      </c>
      <c r="D233" s="2" t="s">
        <v>915</v>
      </c>
      <c r="E233">
        <v>0</v>
      </c>
      <c r="F233" t="s">
        <v>696</v>
      </c>
      <c r="G233" t="s">
        <v>499</v>
      </c>
      <c r="H233" t="s">
        <v>499</v>
      </c>
      <c r="I233" s="2" t="s">
        <v>495</v>
      </c>
      <c r="J233">
        <v>15</v>
      </c>
      <c r="P233" t="b">
        <v>0</v>
      </c>
    </row>
    <row r="234" spans="1:17">
      <c r="A234" t="s">
        <v>1058</v>
      </c>
      <c r="B234" t="b">
        <v>1</v>
      </c>
      <c r="C234" t="s">
        <v>1034</v>
      </c>
      <c r="D234" s="2" t="s">
        <v>716</v>
      </c>
      <c r="E234">
        <v>1</v>
      </c>
      <c r="F234" t="s">
        <v>696</v>
      </c>
      <c r="G234" t="s">
        <v>499</v>
      </c>
      <c r="H234" t="s">
        <v>499</v>
      </c>
      <c r="I234" s="2" t="s">
        <v>495</v>
      </c>
      <c r="J234">
        <v>0</v>
      </c>
      <c r="P234" t="b">
        <v>0</v>
      </c>
    </row>
    <row r="235" spans="1:17">
      <c r="A235" t="s">
        <v>1059</v>
      </c>
      <c r="B235" t="b">
        <v>1</v>
      </c>
      <c r="C235" t="s">
        <v>1034</v>
      </c>
      <c r="D235" t="s">
        <v>804</v>
      </c>
      <c r="E235">
        <v>0</v>
      </c>
      <c r="F235" t="s">
        <v>804</v>
      </c>
      <c r="G235" t="s">
        <v>804</v>
      </c>
      <c r="H235" t="s">
        <v>804</v>
      </c>
      <c r="I235" t="s">
        <v>804</v>
      </c>
      <c r="L235">
        <v>5</v>
      </c>
      <c r="P235" t="b">
        <v>0</v>
      </c>
    </row>
  </sheetData>
  <autoFilter ref="A1:S235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6"/>
  <sheetViews>
    <sheetView topLeftCell="A22" workbookViewId="0">
      <selection activeCell="A24" sqref="A24"/>
    </sheetView>
  </sheetViews>
  <sheetFormatPr defaultRowHeight="15"/>
  <cols>
    <col min="1" max="1" width="110.140625" customWidth="1"/>
    <col min="2" max="2" width="9.140625" style="1"/>
  </cols>
  <sheetData>
    <row r="1" spans="1:2">
      <c r="A1" t="s">
        <v>662</v>
      </c>
      <c r="B1" s="1" t="s">
        <v>663</v>
      </c>
    </row>
    <row r="2" spans="1:2">
      <c r="A2" t="s">
        <v>618</v>
      </c>
      <c r="B2" s="1">
        <v>1</v>
      </c>
    </row>
    <row r="3" spans="1:2">
      <c r="A3" t="s">
        <v>597</v>
      </c>
      <c r="B3" s="1">
        <v>2</v>
      </c>
    </row>
    <row r="4" spans="1:2">
      <c r="A4" t="s">
        <v>365</v>
      </c>
      <c r="B4" s="1">
        <v>1</v>
      </c>
    </row>
    <row r="5" spans="1:2">
      <c r="A5" t="s">
        <v>674</v>
      </c>
      <c r="B5" s="1">
        <v>2</v>
      </c>
    </row>
    <row r="6" spans="1:2">
      <c r="A6" t="s">
        <v>675</v>
      </c>
      <c r="B6" s="1">
        <v>3</v>
      </c>
    </row>
    <row r="7" spans="1:2">
      <c r="A7" t="s">
        <v>676</v>
      </c>
      <c r="B7" s="1">
        <v>4</v>
      </c>
    </row>
    <row r="8" spans="1:2">
      <c r="A8" t="s">
        <v>677</v>
      </c>
      <c r="B8" s="1">
        <v>5</v>
      </c>
    </row>
    <row r="9" spans="1:2">
      <c r="A9" t="s">
        <v>678</v>
      </c>
      <c r="B9" s="1">
        <v>6</v>
      </c>
    </row>
    <row r="10" spans="1:2">
      <c r="A10" t="s">
        <v>621</v>
      </c>
      <c r="B10" s="1">
        <v>1</v>
      </c>
    </row>
    <row r="11" spans="1:2">
      <c r="A11" t="s">
        <v>679</v>
      </c>
      <c r="B11" s="1">
        <v>2</v>
      </c>
    </row>
    <row r="12" spans="1:2">
      <c r="A12" t="s">
        <v>680</v>
      </c>
      <c r="B12" s="1">
        <v>1</v>
      </c>
    </row>
    <row r="13" spans="1:2">
      <c r="A13" t="s">
        <v>681</v>
      </c>
      <c r="B13" s="1">
        <v>2</v>
      </c>
    </row>
    <row r="14" spans="1:2">
      <c r="A14" t="s">
        <v>682</v>
      </c>
      <c r="B14" s="1">
        <v>3</v>
      </c>
    </row>
    <row r="15" spans="1:2">
      <c r="A15" t="s">
        <v>630</v>
      </c>
      <c r="B15" s="1">
        <v>4</v>
      </c>
    </row>
    <row r="16" spans="1:2">
      <c r="A16" t="s">
        <v>655</v>
      </c>
      <c r="B16" s="1">
        <v>2</v>
      </c>
    </row>
    <row r="17" spans="1:2">
      <c r="A17" t="s">
        <v>656</v>
      </c>
      <c r="B17" s="30" t="s">
        <v>684</v>
      </c>
    </row>
    <row r="18" spans="1:2">
      <c r="A18" t="s">
        <v>201</v>
      </c>
      <c r="B18" s="1">
        <v>156</v>
      </c>
    </row>
    <row r="19" spans="1:2">
      <c r="A19" t="s">
        <v>650</v>
      </c>
      <c r="B19" s="1">
        <v>840</v>
      </c>
    </row>
    <row r="20" spans="1:2">
      <c r="A20" t="s">
        <v>1330</v>
      </c>
      <c r="B20" s="1" t="s">
        <v>1331</v>
      </c>
    </row>
    <row r="21" spans="1:2">
      <c r="A21" t="s">
        <v>653</v>
      </c>
      <c r="B21" s="1">
        <v>2017001</v>
      </c>
    </row>
    <row r="22" spans="1:2">
      <c r="A22" t="s">
        <v>603</v>
      </c>
      <c r="B22" s="1">
        <v>1</v>
      </c>
    </row>
    <row r="23" spans="1:2" ht="16.5">
      <c r="A23" s="18" t="s">
        <v>877</v>
      </c>
      <c r="B23" s="1">
        <v>1</v>
      </c>
    </row>
    <row r="24" spans="1:2" ht="16.5">
      <c r="A24" s="18" t="s">
        <v>878</v>
      </c>
      <c r="B24" s="1">
        <v>1</v>
      </c>
    </row>
    <row r="25" spans="1:2" ht="16.5">
      <c r="A25" s="18" t="s">
        <v>879</v>
      </c>
      <c r="B25" s="1">
        <v>1</v>
      </c>
    </row>
    <row r="26" spans="1:2">
      <c r="A26" t="s">
        <v>880</v>
      </c>
      <c r="B26" s="1">
        <v>1</v>
      </c>
    </row>
    <row r="27" spans="1:2">
      <c r="A27" t="s">
        <v>881</v>
      </c>
      <c r="B27" s="1">
        <v>1</v>
      </c>
    </row>
    <row r="28" spans="1:2">
      <c r="A28" t="s">
        <v>882</v>
      </c>
      <c r="B28" s="1">
        <v>1</v>
      </c>
    </row>
    <row r="29" spans="1:2">
      <c r="A29" t="s">
        <v>883</v>
      </c>
      <c r="B29" s="1">
        <v>1</v>
      </c>
    </row>
    <row r="30" spans="1:2">
      <c r="A30" t="s">
        <v>884</v>
      </c>
      <c r="B30" s="1">
        <v>1</v>
      </c>
    </row>
    <row r="31" spans="1:2">
      <c r="A31" t="s">
        <v>885</v>
      </c>
      <c r="B31" s="1">
        <v>1</v>
      </c>
    </row>
    <row r="32" spans="1:2">
      <c r="A32" t="s">
        <v>886</v>
      </c>
      <c r="B32" s="1">
        <v>1</v>
      </c>
    </row>
    <row r="33" spans="1:2">
      <c r="A33" t="s">
        <v>887</v>
      </c>
      <c r="B33" s="1">
        <v>1</v>
      </c>
    </row>
    <row r="34" spans="1:2">
      <c r="A34" t="s">
        <v>888</v>
      </c>
      <c r="B34" s="1">
        <v>1</v>
      </c>
    </row>
    <row r="35" spans="1:2">
      <c r="A35" t="s">
        <v>889</v>
      </c>
      <c r="B35" s="1">
        <v>1</v>
      </c>
    </row>
    <row r="36" spans="1:2">
      <c r="A36" t="s">
        <v>890</v>
      </c>
      <c r="B36" s="1">
        <v>1</v>
      </c>
    </row>
    <row r="37" spans="1:2" ht="16.5">
      <c r="A37" s="18" t="s">
        <v>891</v>
      </c>
      <c r="B37" s="1">
        <v>0</v>
      </c>
    </row>
    <row r="38" spans="1:2" ht="16.5">
      <c r="A38" s="18" t="s">
        <v>892</v>
      </c>
      <c r="B38" s="1">
        <v>0</v>
      </c>
    </row>
    <row r="39" spans="1:2" ht="16.5">
      <c r="A39" s="18" t="s">
        <v>893</v>
      </c>
      <c r="B39" s="1">
        <v>0</v>
      </c>
    </row>
    <row r="40" spans="1:2">
      <c r="A40" t="s">
        <v>894</v>
      </c>
      <c r="B40" s="1">
        <v>0</v>
      </c>
    </row>
    <row r="41" spans="1:2">
      <c r="A41" t="s">
        <v>895</v>
      </c>
      <c r="B41" s="1">
        <v>0</v>
      </c>
    </row>
    <row r="42" spans="1:2">
      <c r="A42" t="s">
        <v>896</v>
      </c>
      <c r="B42" s="1">
        <v>0</v>
      </c>
    </row>
    <row r="43" spans="1:2">
      <c r="A43" t="s">
        <v>897</v>
      </c>
      <c r="B43" s="1">
        <v>0</v>
      </c>
    </row>
    <row r="44" spans="1:2">
      <c r="A44" t="s">
        <v>898</v>
      </c>
      <c r="B44" s="1">
        <v>0</v>
      </c>
    </row>
    <row r="45" spans="1:2">
      <c r="A45" t="s">
        <v>899</v>
      </c>
      <c r="B45" s="1">
        <v>0</v>
      </c>
    </row>
    <row r="46" spans="1:2">
      <c r="A46" t="s">
        <v>900</v>
      </c>
      <c r="B46" s="1">
        <v>0</v>
      </c>
    </row>
    <row r="47" spans="1:2">
      <c r="A47" t="s">
        <v>901</v>
      </c>
      <c r="B47" s="1">
        <v>0</v>
      </c>
    </row>
    <row r="48" spans="1:2">
      <c r="A48" t="s">
        <v>902</v>
      </c>
      <c r="B48" s="1">
        <v>0</v>
      </c>
    </row>
    <row r="49" spans="1:2">
      <c r="A49" t="s">
        <v>903</v>
      </c>
      <c r="B49" s="1">
        <v>0</v>
      </c>
    </row>
    <row r="50" spans="1:2">
      <c r="A50" t="s">
        <v>904</v>
      </c>
      <c r="B50" s="1">
        <v>0</v>
      </c>
    </row>
    <row r="51" spans="1:2">
      <c r="A51" t="s">
        <v>1325</v>
      </c>
      <c r="B51" s="1">
        <v>1</v>
      </c>
    </row>
    <row r="52" spans="1:2">
      <c r="A52" t="s">
        <v>1326</v>
      </c>
      <c r="B52" s="1">
        <v>1</v>
      </c>
    </row>
    <row r="53" spans="1:2" ht="16.5">
      <c r="A53" s="18" t="s">
        <v>925</v>
      </c>
      <c r="B53" s="1">
        <v>0</v>
      </c>
    </row>
    <row r="54" spans="1:2" ht="16.5">
      <c r="A54" s="18" t="s">
        <v>926</v>
      </c>
      <c r="B54" s="1">
        <v>0</v>
      </c>
    </row>
    <row r="55" spans="1:2" ht="16.5">
      <c r="A55" s="18" t="s">
        <v>927</v>
      </c>
      <c r="B55" s="1">
        <v>0</v>
      </c>
    </row>
    <row r="56" spans="1:2" ht="16.5">
      <c r="A56" s="18" t="s">
        <v>928</v>
      </c>
      <c r="B56" s="1">
        <v>0</v>
      </c>
    </row>
    <row r="57" spans="1:2">
      <c r="A57" t="s">
        <v>967</v>
      </c>
      <c r="B57" s="1">
        <v>1</v>
      </c>
    </row>
    <row r="58" spans="1:2">
      <c r="A58" t="s">
        <v>968</v>
      </c>
      <c r="B58" s="1">
        <v>2</v>
      </c>
    </row>
    <row r="59" spans="1:2">
      <c r="A59" t="s">
        <v>969</v>
      </c>
      <c r="B59" s="1" t="s">
        <v>653</v>
      </c>
    </row>
    <row r="60" spans="1:2">
      <c r="A60" t="s">
        <v>972</v>
      </c>
      <c r="B60" s="1">
        <v>1</v>
      </c>
    </row>
    <row r="61" spans="1:2">
      <c r="A61" t="s">
        <v>1232</v>
      </c>
      <c r="B61" s="1">
        <v>0</v>
      </c>
    </row>
    <row r="62" spans="1:2">
      <c r="A62" t="s">
        <v>1246</v>
      </c>
      <c r="B62" s="1">
        <v>0</v>
      </c>
    </row>
    <row r="63" spans="1:2">
      <c r="A63" t="s">
        <v>1245</v>
      </c>
      <c r="B63" s="1">
        <v>0</v>
      </c>
    </row>
    <row r="64" spans="1:2">
      <c r="A64" t="s">
        <v>978</v>
      </c>
      <c r="B64" s="1">
        <v>0</v>
      </c>
    </row>
    <row r="65" spans="1:2">
      <c r="A65" t="s">
        <v>981</v>
      </c>
      <c r="B65" s="1">
        <v>0</v>
      </c>
    </row>
    <row r="66" spans="1:2">
      <c r="A66" t="s">
        <v>980</v>
      </c>
      <c r="B66" s="1">
        <v>0</v>
      </c>
    </row>
    <row r="67" spans="1:2">
      <c r="A67" t="s">
        <v>979</v>
      </c>
      <c r="B67" s="1">
        <v>0</v>
      </c>
    </row>
    <row r="68" spans="1:2">
      <c r="A68" t="s">
        <v>982</v>
      </c>
      <c r="B68" s="1">
        <v>9</v>
      </c>
    </row>
    <row r="69" spans="1:2">
      <c r="A69" t="s">
        <v>1037</v>
      </c>
      <c r="B69" s="1">
        <v>0</v>
      </c>
    </row>
    <row r="70" spans="1:2">
      <c r="A70" t="s">
        <v>1038</v>
      </c>
      <c r="B70" s="1">
        <v>0</v>
      </c>
    </row>
    <row r="71" spans="1:2">
      <c r="A71" t="s">
        <v>1329</v>
      </c>
      <c r="B71" s="1">
        <v>4</v>
      </c>
    </row>
    <row r="72" spans="1:2">
      <c r="A72" t="s">
        <v>1063</v>
      </c>
      <c r="B72" s="1" t="s">
        <v>1062</v>
      </c>
    </row>
    <row r="73" spans="1:2">
      <c r="A73" t="s">
        <v>1241</v>
      </c>
      <c r="B73" s="1">
        <v>2</v>
      </c>
    </row>
    <row r="74" spans="1:2">
      <c r="A74" t="s">
        <v>1242</v>
      </c>
      <c r="B74" s="1">
        <v>0</v>
      </c>
    </row>
    <row r="75" spans="1:2" ht="16.5">
      <c r="A75" s="18" t="s">
        <v>1243</v>
      </c>
      <c r="B75" s="1">
        <v>0</v>
      </c>
    </row>
    <row r="76" spans="1:2" ht="16.5">
      <c r="A76" s="18" t="s">
        <v>1244</v>
      </c>
      <c r="B76" s="1"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S204"/>
  <sheetViews>
    <sheetView topLeftCell="A55" workbookViewId="0">
      <selection activeCell="A72" sqref="A72:A75"/>
    </sheetView>
  </sheetViews>
  <sheetFormatPr defaultRowHeight="15"/>
  <cols>
    <col min="1" max="1" width="68.5703125" customWidth="1"/>
    <col min="2" max="2" width="9.140625" customWidth="1"/>
    <col min="3" max="3" width="30.28515625" customWidth="1"/>
    <col min="4" max="4" width="26.42578125" customWidth="1"/>
    <col min="5" max="5" width="9.5703125" customWidth="1"/>
    <col min="6" max="6" width="13" customWidth="1"/>
    <col min="7" max="8" width="9.140625" customWidth="1"/>
    <col min="9" max="9" width="16" customWidth="1"/>
    <col min="10" max="14" width="17.140625" customWidth="1"/>
    <col min="15" max="15" width="10.140625" customWidth="1"/>
    <col min="16" max="16" width="20.85546875" customWidth="1"/>
  </cols>
  <sheetData>
    <row r="1" spans="1:19">
      <c r="A1" t="s">
        <v>491</v>
      </c>
      <c r="B1" t="s">
        <v>498</v>
      </c>
      <c r="C1" t="s">
        <v>478</v>
      </c>
      <c r="D1" t="s">
        <v>477</v>
      </c>
      <c r="E1" t="s">
        <v>479</v>
      </c>
      <c r="F1" t="s">
        <v>492</v>
      </c>
      <c r="G1" t="s">
        <v>496</v>
      </c>
      <c r="H1" t="s">
        <v>472</v>
      </c>
      <c r="I1" t="s">
        <v>493</v>
      </c>
      <c r="J1" t="s">
        <v>487</v>
      </c>
      <c r="K1" t="s">
        <v>917</v>
      </c>
      <c r="L1" t="s">
        <v>511</v>
      </c>
      <c r="M1" t="s">
        <v>870</v>
      </c>
      <c r="N1" t="s">
        <v>854</v>
      </c>
      <c r="O1" t="s">
        <v>855</v>
      </c>
      <c r="P1" t="s">
        <v>1209</v>
      </c>
      <c r="Q1" s="12" t="s">
        <v>542</v>
      </c>
      <c r="R1" t="s">
        <v>357</v>
      </c>
      <c r="S1" t="s">
        <v>500</v>
      </c>
    </row>
    <row r="2" spans="1:19">
      <c r="A2" t="s">
        <v>802</v>
      </c>
      <c r="B2" t="b">
        <v>1</v>
      </c>
      <c r="C2" t="s">
        <v>802</v>
      </c>
      <c r="D2" s="2" t="s">
        <v>801</v>
      </c>
      <c r="E2">
        <v>0</v>
      </c>
      <c r="F2" t="s">
        <v>471</v>
      </c>
      <c r="G2" t="s">
        <v>499</v>
      </c>
      <c r="I2" s="2" t="s">
        <v>494</v>
      </c>
      <c r="J2">
        <v>0</v>
      </c>
      <c r="P2" t="b">
        <v>0</v>
      </c>
      <c r="Q2" s="12"/>
    </row>
    <row r="3" spans="1:19">
      <c r="A3" t="s">
        <v>802</v>
      </c>
      <c r="B3" t="b">
        <v>1</v>
      </c>
      <c r="C3" t="s">
        <v>802</v>
      </c>
      <c r="D3" t="s">
        <v>803</v>
      </c>
      <c r="E3">
        <v>1</v>
      </c>
      <c r="F3" t="s">
        <v>730</v>
      </c>
      <c r="G3" t="s">
        <v>499</v>
      </c>
      <c r="H3" t="s">
        <v>731</v>
      </c>
      <c r="I3" t="s">
        <v>731</v>
      </c>
      <c r="N3" t="s">
        <v>510</v>
      </c>
      <c r="O3" t="b">
        <v>1</v>
      </c>
      <c r="P3" t="b">
        <v>0</v>
      </c>
      <c r="Q3" t="s">
        <v>802</v>
      </c>
    </row>
    <row r="4" spans="1:19">
      <c r="A4" t="s">
        <v>1146</v>
      </c>
      <c r="B4" t="b">
        <v>1</v>
      </c>
      <c r="C4" t="s">
        <v>802</v>
      </c>
      <c r="D4" t="s">
        <v>804</v>
      </c>
      <c r="E4">
        <v>0</v>
      </c>
      <c r="F4" t="s">
        <v>804</v>
      </c>
      <c r="G4" t="s">
        <v>804</v>
      </c>
      <c r="H4" t="s">
        <v>804</v>
      </c>
      <c r="P4" t="b">
        <v>0</v>
      </c>
    </row>
    <row r="5" spans="1:19">
      <c r="A5" t="s">
        <v>339</v>
      </c>
      <c r="B5" t="b">
        <v>1</v>
      </c>
      <c r="C5" t="s">
        <v>802</v>
      </c>
      <c r="D5" s="2" t="s">
        <v>782</v>
      </c>
      <c r="E5">
        <v>0</v>
      </c>
      <c r="F5" t="s">
        <v>471</v>
      </c>
      <c r="G5" t="s">
        <v>473</v>
      </c>
      <c r="H5" t="s">
        <v>473</v>
      </c>
      <c r="I5" s="2" t="s">
        <v>494</v>
      </c>
      <c r="P5" t="b">
        <v>1</v>
      </c>
      <c r="Q5" s="12" t="s">
        <v>820</v>
      </c>
    </row>
    <row r="6" spans="1:19" ht="16.5">
      <c r="A6" s="18" t="s">
        <v>342</v>
      </c>
      <c r="B6" t="b">
        <v>1</v>
      </c>
      <c r="C6" t="s">
        <v>802</v>
      </c>
      <c r="D6" s="2" t="s">
        <v>783</v>
      </c>
      <c r="E6">
        <v>0</v>
      </c>
      <c r="F6" t="s">
        <v>471</v>
      </c>
      <c r="G6" t="s">
        <v>473</v>
      </c>
      <c r="H6" t="s">
        <v>473</v>
      </c>
      <c r="I6" s="2" t="s">
        <v>494</v>
      </c>
      <c r="P6" t="b">
        <v>1</v>
      </c>
      <c r="Q6" s="12" t="s">
        <v>821</v>
      </c>
    </row>
    <row r="7" spans="1:19" ht="16.5">
      <c r="A7" s="18" t="s">
        <v>333</v>
      </c>
      <c r="B7" t="b">
        <v>1</v>
      </c>
      <c r="C7" t="s">
        <v>802</v>
      </c>
      <c r="D7" s="2" t="s">
        <v>784</v>
      </c>
      <c r="E7">
        <v>0</v>
      </c>
      <c r="F7" t="s">
        <v>471</v>
      </c>
      <c r="G7" t="s">
        <v>473</v>
      </c>
      <c r="H7" t="s">
        <v>473</v>
      </c>
      <c r="I7" s="2" t="s">
        <v>494</v>
      </c>
      <c r="P7" t="b">
        <v>1</v>
      </c>
      <c r="Q7" s="12" t="s">
        <v>817</v>
      </c>
    </row>
    <row r="8" spans="1:19" ht="16.5">
      <c r="A8" s="18" t="s">
        <v>336</v>
      </c>
      <c r="B8" t="b">
        <v>1</v>
      </c>
      <c r="C8" t="s">
        <v>802</v>
      </c>
      <c r="D8" s="2" t="s">
        <v>785</v>
      </c>
      <c r="E8">
        <v>0</v>
      </c>
      <c r="F8" t="s">
        <v>471</v>
      </c>
      <c r="G8" t="s">
        <v>473</v>
      </c>
      <c r="H8" t="s">
        <v>473</v>
      </c>
      <c r="I8" s="2" t="s">
        <v>494</v>
      </c>
      <c r="P8" t="b">
        <v>1</v>
      </c>
      <c r="Q8" s="12" t="s">
        <v>818</v>
      </c>
    </row>
    <row r="9" spans="1:19" ht="16.5">
      <c r="A9" s="18" t="s">
        <v>337</v>
      </c>
      <c r="B9" t="b">
        <v>1</v>
      </c>
      <c r="C9" t="s">
        <v>802</v>
      </c>
      <c r="D9" s="2" t="s">
        <v>786</v>
      </c>
      <c r="E9">
        <v>0</v>
      </c>
      <c r="F9" t="s">
        <v>471</v>
      </c>
      <c r="G9" t="s">
        <v>473</v>
      </c>
      <c r="H9" t="s">
        <v>473</v>
      </c>
      <c r="I9" s="2" t="s">
        <v>494</v>
      </c>
      <c r="P9" t="b">
        <v>1</v>
      </c>
      <c r="Q9" s="12" t="s">
        <v>819</v>
      </c>
    </row>
    <row r="10" spans="1:19" ht="16.5">
      <c r="A10" s="19" t="s">
        <v>346</v>
      </c>
      <c r="B10" t="b">
        <v>1</v>
      </c>
      <c r="C10" t="s">
        <v>802</v>
      </c>
      <c r="D10" s="2" t="s">
        <v>790</v>
      </c>
      <c r="E10">
        <v>0</v>
      </c>
      <c r="F10" t="s">
        <v>474</v>
      </c>
      <c r="G10" t="s">
        <v>473</v>
      </c>
      <c r="H10" t="s">
        <v>473</v>
      </c>
      <c r="I10" s="2" t="s">
        <v>494</v>
      </c>
      <c r="P10" t="b">
        <v>1</v>
      </c>
      <c r="Q10" s="12" t="s">
        <v>598</v>
      </c>
    </row>
    <row r="11" spans="1:19" ht="16.5">
      <c r="A11" s="29" t="s">
        <v>354</v>
      </c>
      <c r="B11" t="b">
        <v>1</v>
      </c>
      <c r="C11" t="s">
        <v>802</v>
      </c>
      <c r="D11" s="2" t="s">
        <v>791</v>
      </c>
      <c r="E11">
        <v>0</v>
      </c>
      <c r="F11" t="s">
        <v>471</v>
      </c>
      <c r="G11" t="s">
        <v>473</v>
      </c>
      <c r="H11" t="s">
        <v>473</v>
      </c>
      <c r="I11" s="2" t="s">
        <v>494</v>
      </c>
      <c r="P11" t="b">
        <v>0</v>
      </c>
      <c r="Q11" s="12" t="s">
        <v>601</v>
      </c>
    </row>
    <row r="12" spans="1:19" ht="16.5">
      <c r="A12" s="19" t="s">
        <v>856</v>
      </c>
      <c r="B12" t="b">
        <v>1</v>
      </c>
      <c r="C12" t="s">
        <v>802</v>
      </c>
      <c r="D12" s="2" t="s">
        <v>792</v>
      </c>
      <c r="E12">
        <v>0</v>
      </c>
      <c r="F12" t="s">
        <v>471</v>
      </c>
      <c r="G12" t="s">
        <v>364</v>
      </c>
      <c r="H12" t="s">
        <v>364</v>
      </c>
      <c r="I12" t="s">
        <v>364</v>
      </c>
      <c r="M12" t="s">
        <v>905</v>
      </c>
      <c r="P12" t="b">
        <v>0</v>
      </c>
      <c r="Q12" s="12" t="s">
        <v>871</v>
      </c>
    </row>
    <row r="13" spans="1:19" ht="16.5">
      <c r="A13" s="18" t="s">
        <v>351</v>
      </c>
      <c r="B13" t="b">
        <v>1</v>
      </c>
      <c r="C13" t="s">
        <v>802</v>
      </c>
      <c r="D13" s="2" t="s">
        <v>787</v>
      </c>
      <c r="E13">
        <v>0</v>
      </c>
      <c r="F13" t="s">
        <v>471</v>
      </c>
      <c r="G13" t="s">
        <v>473</v>
      </c>
      <c r="H13" t="s">
        <v>473</v>
      </c>
      <c r="I13" s="2" t="s">
        <v>494</v>
      </c>
      <c r="P13" t="b">
        <v>1</v>
      </c>
      <c r="Q13" s="12">
        <v>0</v>
      </c>
    </row>
    <row r="14" spans="1:19" ht="16.5">
      <c r="A14" s="18" t="s">
        <v>857</v>
      </c>
      <c r="B14" t="b">
        <v>1</v>
      </c>
      <c r="C14" t="s">
        <v>802</v>
      </c>
      <c r="D14" s="2" t="s">
        <v>1065</v>
      </c>
      <c r="E14">
        <v>0</v>
      </c>
      <c r="F14" t="s">
        <v>471</v>
      </c>
      <c r="G14" t="s">
        <v>364</v>
      </c>
      <c r="H14" t="s">
        <v>364</v>
      </c>
      <c r="I14" t="s">
        <v>364</v>
      </c>
      <c r="M14" t="s">
        <v>905</v>
      </c>
      <c r="P14" t="b">
        <v>0</v>
      </c>
      <c r="Q14" s="12" t="s">
        <v>871</v>
      </c>
    </row>
    <row r="15" spans="1:19" ht="16.5">
      <c r="A15" s="18" t="s">
        <v>352</v>
      </c>
      <c r="B15" t="b">
        <v>1</v>
      </c>
      <c r="C15" t="s">
        <v>802</v>
      </c>
      <c r="D15" s="2" t="s">
        <v>788</v>
      </c>
      <c r="E15">
        <v>0</v>
      </c>
      <c r="F15" t="s">
        <v>471</v>
      </c>
      <c r="G15" t="s">
        <v>473</v>
      </c>
      <c r="H15" t="s">
        <v>473</v>
      </c>
      <c r="I15" s="2" t="s">
        <v>494</v>
      </c>
      <c r="P15" t="b">
        <v>1</v>
      </c>
      <c r="Q15" s="12">
        <v>0</v>
      </c>
    </row>
    <row r="16" spans="1:19" ht="16.5">
      <c r="A16" s="18" t="s">
        <v>858</v>
      </c>
      <c r="B16" t="b">
        <v>1</v>
      </c>
      <c r="C16" t="s">
        <v>802</v>
      </c>
      <c r="D16" s="2" t="s">
        <v>789</v>
      </c>
      <c r="E16">
        <v>0</v>
      </c>
      <c r="F16" t="s">
        <v>471</v>
      </c>
      <c r="G16" t="s">
        <v>364</v>
      </c>
      <c r="H16" t="s">
        <v>364</v>
      </c>
      <c r="I16" t="s">
        <v>364</v>
      </c>
      <c r="M16" t="s">
        <v>905</v>
      </c>
      <c r="P16" t="b">
        <v>0</v>
      </c>
      <c r="Q16" s="12" t="s">
        <v>871</v>
      </c>
    </row>
    <row r="17" spans="1:17" ht="16.5">
      <c r="A17" s="18" t="s">
        <v>546</v>
      </c>
      <c r="B17" t="b">
        <v>1</v>
      </c>
      <c r="C17" t="s">
        <v>802</v>
      </c>
      <c r="D17" s="2" t="s">
        <v>793</v>
      </c>
      <c r="E17">
        <v>0</v>
      </c>
      <c r="F17" t="s">
        <v>474</v>
      </c>
      <c r="G17" t="s">
        <v>364</v>
      </c>
      <c r="H17" t="s">
        <v>364</v>
      </c>
      <c r="I17" t="s">
        <v>364</v>
      </c>
      <c r="M17" t="s">
        <v>905</v>
      </c>
      <c r="P17" t="b">
        <v>1</v>
      </c>
      <c r="Q17" s="12" t="s">
        <v>597</v>
      </c>
    </row>
    <row r="18" spans="1:17" ht="16.5">
      <c r="A18" s="18" t="s">
        <v>543</v>
      </c>
      <c r="B18" t="b">
        <v>1</v>
      </c>
      <c r="C18" t="s">
        <v>802</v>
      </c>
      <c r="D18" s="2" t="s">
        <v>794</v>
      </c>
      <c r="E18">
        <v>0</v>
      </c>
      <c r="F18" t="s">
        <v>474</v>
      </c>
      <c r="G18" t="s">
        <v>364</v>
      </c>
      <c r="H18" t="s">
        <v>364</v>
      </c>
      <c r="I18" t="s">
        <v>364</v>
      </c>
      <c r="M18" t="s">
        <v>905</v>
      </c>
      <c r="P18" t="b">
        <v>1</v>
      </c>
      <c r="Q18" s="12" t="s">
        <v>597</v>
      </c>
    </row>
    <row r="19" spans="1:17" ht="16.5">
      <c r="A19" s="18" t="s">
        <v>702</v>
      </c>
      <c r="B19" t="b">
        <v>1</v>
      </c>
      <c r="C19" t="s">
        <v>802</v>
      </c>
      <c r="D19" s="2" t="s">
        <v>795</v>
      </c>
      <c r="E19">
        <v>0</v>
      </c>
      <c r="F19" t="s">
        <v>474</v>
      </c>
      <c r="G19" t="s">
        <v>364</v>
      </c>
      <c r="H19" t="s">
        <v>364</v>
      </c>
      <c r="I19" t="s">
        <v>364</v>
      </c>
      <c r="M19" t="s">
        <v>905</v>
      </c>
      <c r="P19" t="b">
        <v>0</v>
      </c>
      <c r="Q19" s="12" t="s">
        <v>597</v>
      </c>
    </row>
    <row r="20" spans="1:17" ht="16.5">
      <c r="A20" s="18" t="s">
        <v>703</v>
      </c>
      <c r="B20" t="b">
        <v>1</v>
      </c>
      <c r="C20" t="s">
        <v>802</v>
      </c>
      <c r="D20" s="2" t="s">
        <v>796</v>
      </c>
      <c r="E20">
        <v>0</v>
      </c>
      <c r="F20" t="s">
        <v>474</v>
      </c>
      <c r="G20" t="s">
        <v>364</v>
      </c>
      <c r="H20" t="s">
        <v>364</v>
      </c>
      <c r="I20" t="s">
        <v>364</v>
      </c>
      <c r="M20" t="s">
        <v>905</v>
      </c>
      <c r="P20" t="b">
        <v>0</v>
      </c>
      <c r="Q20" s="12" t="s">
        <v>597</v>
      </c>
    </row>
    <row r="21" spans="1:17" ht="16.5">
      <c r="A21" s="18" t="s">
        <v>1143</v>
      </c>
      <c r="B21" t="b">
        <v>1</v>
      </c>
      <c r="C21" t="s">
        <v>802</v>
      </c>
      <c r="D21" s="2" t="s">
        <v>797</v>
      </c>
      <c r="E21">
        <v>0</v>
      </c>
      <c r="F21" t="s">
        <v>471</v>
      </c>
      <c r="G21" t="s">
        <v>499</v>
      </c>
      <c r="H21" t="s">
        <v>499</v>
      </c>
      <c r="I21" s="2" t="s">
        <v>494</v>
      </c>
      <c r="L21">
        <v>5</v>
      </c>
      <c r="P21" t="b">
        <v>0</v>
      </c>
      <c r="Q21" s="12"/>
    </row>
    <row r="22" spans="1:17">
      <c r="A22" t="s">
        <v>1144</v>
      </c>
      <c r="B22" t="b">
        <v>1</v>
      </c>
      <c r="C22" t="s">
        <v>802</v>
      </c>
      <c r="D22" t="s">
        <v>804</v>
      </c>
      <c r="E22">
        <v>0</v>
      </c>
      <c r="F22" t="s">
        <v>804</v>
      </c>
      <c r="G22" t="s">
        <v>804</v>
      </c>
      <c r="H22" t="s">
        <v>804</v>
      </c>
      <c r="P22" t="b">
        <v>0</v>
      </c>
    </row>
    <row r="23" spans="1:17">
      <c r="A23" t="s">
        <v>778</v>
      </c>
      <c r="B23" t="b">
        <v>1</v>
      </c>
      <c r="C23" t="s">
        <v>778</v>
      </c>
      <c r="D23" s="2" t="s">
        <v>801</v>
      </c>
      <c r="E23">
        <v>0</v>
      </c>
      <c r="F23" t="s">
        <v>471</v>
      </c>
      <c r="G23" t="s">
        <v>499</v>
      </c>
      <c r="I23" s="2" t="s">
        <v>494</v>
      </c>
      <c r="J23">
        <v>0</v>
      </c>
      <c r="P23" t="b">
        <v>0</v>
      </c>
      <c r="Q23" s="12"/>
    </row>
    <row r="24" spans="1:17">
      <c r="A24" t="s">
        <v>778</v>
      </c>
      <c r="B24" t="b">
        <v>1</v>
      </c>
      <c r="C24" t="s">
        <v>778</v>
      </c>
      <c r="D24" t="s">
        <v>803</v>
      </c>
      <c r="E24">
        <v>1</v>
      </c>
      <c r="F24" t="s">
        <v>730</v>
      </c>
      <c r="G24" t="s">
        <v>499</v>
      </c>
      <c r="H24" t="s">
        <v>731</v>
      </c>
      <c r="I24" t="s">
        <v>731</v>
      </c>
      <c r="N24" t="s">
        <v>510</v>
      </c>
      <c r="O24" t="b">
        <v>1</v>
      </c>
      <c r="P24" t="b">
        <v>0</v>
      </c>
      <c r="Q24" t="s">
        <v>778</v>
      </c>
    </row>
    <row r="25" spans="1:17">
      <c r="A25" t="s">
        <v>1147</v>
      </c>
      <c r="B25" t="b">
        <v>1</v>
      </c>
      <c r="C25" t="s">
        <v>778</v>
      </c>
      <c r="D25" t="s">
        <v>804</v>
      </c>
      <c r="E25">
        <v>0</v>
      </c>
      <c r="F25" t="s">
        <v>804</v>
      </c>
      <c r="G25" t="s">
        <v>804</v>
      </c>
      <c r="H25" t="s">
        <v>804</v>
      </c>
      <c r="P25" t="b">
        <v>0</v>
      </c>
    </row>
    <row r="26" spans="1:17">
      <c r="A26" t="s">
        <v>544</v>
      </c>
      <c r="B26" t="b">
        <v>1</v>
      </c>
      <c r="C26" t="s">
        <v>778</v>
      </c>
      <c r="D26" s="2" t="s">
        <v>798</v>
      </c>
      <c r="E26">
        <v>0</v>
      </c>
      <c r="F26" t="s">
        <v>471</v>
      </c>
      <c r="G26" t="s">
        <v>473</v>
      </c>
      <c r="H26" t="s">
        <v>473</v>
      </c>
      <c r="I26" s="2" t="s">
        <v>494</v>
      </c>
      <c r="P26" t="b">
        <v>1</v>
      </c>
      <c r="Q26" s="12" t="s">
        <v>631</v>
      </c>
    </row>
    <row r="27" spans="1:17">
      <c r="A27" t="s">
        <v>545</v>
      </c>
      <c r="B27" t="b">
        <v>1</v>
      </c>
      <c r="C27" t="s">
        <v>778</v>
      </c>
      <c r="D27" s="2" t="s">
        <v>799</v>
      </c>
      <c r="E27">
        <v>0</v>
      </c>
      <c r="F27" t="s">
        <v>471</v>
      </c>
      <c r="G27" t="s">
        <v>473</v>
      </c>
      <c r="H27" t="s">
        <v>473</v>
      </c>
      <c r="I27" s="2" t="s">
        <v>494</v>
      </c>
      <c r="P27" t="b">
        <v>1</v>
      </c>
      <c r="Q27" s="12" t="s">
        <v>631</v>
      </c>
    </row>
    <row r="28" spans="1:17">
      <c r="A28" t="s">
        <v>781</v>
      </c>
      <c r="B28" t="b">
        <v>1</v>
      </c>
      <c r="C28" t="s">
        <v>778</v>
      </c>
      <c r="D28" s="2" t="s">
        <v>800</v>
      </c>
      <c r="E28">
        <v>0</v>
      </c>
      <c r="F28" t="s">
        <v>471</v>
      </c>
      <c r="G28" t="s">
        <v>499</v>
      </c>
      <c r="H28" t="s">
        <v>499</v>
      </c>
      <c r="I28" s="2" t="s">
        <v>494</v>
      </c>
      <c r="P28" t="b">
        <v>0</v>
      </c>
      <c r="Q28" s="12" t="s">
        <v>631</v>
      </c>
    </row>
    <row r="29" spans="1:17">
      <c r="A29" t="s">
        <v>1145</v>
      </c>
      <c r="B29" t="b">
        <v>1</v>
      </c>
      <c r="C29" t="s">
        <v>778</v>
      </c>
      <c r="D29" t="s">
        <v>804</v>
      </c>
      <c r="E29">
        <v>0</v>
      </c>
      <c r="F29" t="s">
        <v>804</v>
      </c>
      <c r="G29" t="s">
        <v>804</v>
      </c>
      <c r="H29" t="s">
        <v>804</v>
      </c>
      <c r="P29" t="b">
        <v>0</v>
      </c>
      <c r="Q29" s="12" t="s">
        <v>631</v>
      </c>
    </row>
    <row r="30" spans="1:17">
      <c r="A30" t="s">
        <v>359</v>
      </c>
      <c r="B30" t="b">
        <v>1</v>
      </c>
      <c r="C30" t="s">
        <v>359</v>
      </c>
      <c r="D30" s="2" t="s">
        <v>801</v>
      </c>
      <c r="E30">
        <v>0</v>
      </c>
      <c r="F30" t="s">
        <v>471</v>
      </c>
      <c r="G30" t="s">
        <v>499</v>
      </c>
      <c r="I30" s="2" t="s">
        <v>494</v>
      </c>
      <c r="J30">
        <v>0</v>
      </c>
      <c r="P30" t="b">
        <v>0</v>
      </c>
      <c r="Q30" s="12"/>
    </row>
    <row r="31" spans="1:17">
      <c r="A31" t="s">
        <v>359</v>
      </c>
      <c r="B31" t="b">
        <v>1</v>
      </c>
      <c r="C31" t="s">
        <v>359</v>
      </c>
      <c r="D31" t="s">
        <v>803</v>
      </c>
      <c r="E31">
        <v>1</v>
      </c>
      <c r="F31" t="s">
        <v>730</v>
      </c>
      <c r="G31" t="s">
        <v>499</v>
      </c>
      <c r="H31" t="s">
        <v>731</v>
      </c>
      <c r="I31" t="s">
        <v>731</v>
      </c>
      <c r="N31" t="s">
        <v>510</v>
      </c>
      <c r="O31" t="b">
        <v>1</v>
      </c>
      <c r="P31" t="b">
        <v>0</v>
      </c>
      <c r="Q31" t="s">
        <v>359</v>
      </c>
    </row>
    <row r="32" spans="1:17">
      <c r="A32" t="s">
        <v>1148</v>
      </c>
      <c r="B32" t="b">
        <v>1</v>
      </c>
      <c r="C32" t="s">
        <v>359</v>
      </c>
      <c r="D32" t="s">
        <v>804</v>
      </c>
      <c r="E32">
        <v>0</v>
      </c>
      <c r="F32" t="s">
        <v>804</v>
      </c>
      <c r="G32" t="s">
        <v>804</v>
      </c>
      <c r="H32" t="s">
        <v>804</v>
      </c>
      <c r="P32" t="b">
        <v>0</v>
      </c>
    </row>
    <row r="33" spans="1:17">
      <c r="A33" t="s">
        <v>726</v>
      </c>
      <c r="B33" t="b">
        <v>1</v>
      </c>
      <c r="C33" t="s">
        <v>359</v>
      </c>
      <c r="D33" s="2" t="s">
        <v>805</v>
      </c>
      <c r="E33">
        <v>0</v>
      </c>
      <c r="F33" t="s">
        <v>471</v>
      </c>
      <c r="G33" t="s">
        <v>499</v>
      </c>
      <c r="H33" t="s">
        <v>499</v>
      </c>
      <c r="I33" s="2" t="s">
        <v>494</v>
      </c>
      <c r="J33">
        <v>0</v>
      </c>
      <c r="L33">
        <v>5</v>
      </c>
      <c r="P33" t="b">
        <v>0</v>
      </c>
      <c r="Q33" s="12"/>
    </row>
    <row r="34" spans="1:17">
      <c r="A34" t="s">
        <v>726</v>
      </c>
      <c r="B34" t="b">
        <v>1</v>
      </c>
      <c r="C34" t="s">
        <v>359</v>
      </c>
      <c r="D34" s="2" t="s">
        <v>806</v>
      </c>
      <c r="E34">
        <v>1</v>
      </c>
      <c r="F34" t="s">
        <v>696</v>
      </c>
      <c r="G34" t="s">
        <v>499</v>
      </c>
      <c r="H34" t="s">
        <v>499</v>
      </c>
      <c r="I34" s="2" t="s">
        <v>495</v>
      </c>
      <c r="L34">
        <v>5</v>
      </c>
      <c r="M34" s="12"/>
      <c r="P34" t="b">
        <v>0</v>
      </c>
    </row>
    <row r="35" spans="1:17">
      <c r="A35" t="s">
        <v>726</v>
      </c>
      <c r="B35" t="b">
        <v>1</v>
      </c>
      <c r="C35" t="s">
        <v>359</v>
      </c>
      <c r="D35" s="2" t="s">
        <v>473</v>
      </c>
      <c r="E35">
        <v>2</v>
      </c>
      <c r="F35" t="s">
        <v>730</v>
      </c>
      <c r="G35" t="s">
        <v>499</v>
      </c>
      <c r="H35" t="s">
        <v>499</v>
      </c>
      <c r="I35" s="2" t="s">
        <v>495</v>
      </c>
      <c r="J35">
        <v>1</v>
      </c>
      <c r="L35">
        <v>5</v>
      </c>
      <c r="P35" t="b">
        <v>0</v>
      </c>
      <c r="Q35" s="12"/>
    </row>
    <row r="36" spans="1:17">
      <c r="A36" t="s">
        <v>919</v>
      </c>
      <c r="B36" t="b">
        <v>1</v>
      </c>
      <c r="C36" t="s">
        <v>359</v>
      </c>
      <c r="D36" s="2" t="s">
        <v>1149</v>
      </c>
      <c r="E36">
        <v>0</v>
      </c>
      <c r="F36" s="2" t="s">
        <v>471</v>
      </c>
      <c r="G36" s="2" t="s">
        <v>911</v>
      </c>
      <c r="H36" s="2" t="s">
        <v>911</v>
      </c>
      <c r="I36" s="2" t="s">
        <v>494</v>
      </c>
      <c r="P36" t="b">
        <v>0</v>
      </c>
      <c r="Q36" s="12"/>
    </row>
    <row r="37" spans="1:17">
      <c r="A37" t="s">
        <v>1312</v>
      </c>
      <c r="B37" t="b">
        <v>1</v>
      </c>
      <c r="C37" t="s">
        <v>359</v>
      </c>
      <c r="D37" s="2" t="s">
        <v>807</v>
      </c>
      <c r="E37">
        <v>0</v>
      </c>
      <c r="F37" t="s">
        <v>471</v>
      </c>
      <c r="G37" t="s">
        <v>473</v>
      </c>
      <c r="H37" t="s">
        <v>473</v>
      </c>
      <c r="I37" s="2" t="s">
        <v>494</v>
      </c>
      <c r="P37" t="b">
        <v>1</v>
      </c>
      <c r="Q37" s="21" t="s">
        <v>602</v>
      </c>
    </row>
    <row r="38" spans="1:17">
      <c r="A38" t="s">
        <v>1313</v>
      </c>
      <c r="B38" t="b">
        <v>1</v>
      </c>
      <c r="C38" t="s">
        <v>359</v>
      </c>
      <c r="D38" s="2" t="s">
        <v>808</v>
      </c>
      <c r="E38">
        <v>0</v>
      </c>
      <c r="F38" t="s">
        <v>471</v>
      </c>
      <c r="G38" t="s">
        <v>473</v>
      </c>
      <c r="H38" t="s">
        <v>473</v>
      </c>
      <c r="I38" s="2" t="s">
        <v>494</v>
      </c>
      <c r="P38" t="b">
        <v>1</v>
      </c>
      <c r="Q38" s="12">
        <v>0</v>
      </c>
    </row>
    <row r="39" spans="1:17">
      <c r="A39" t="s">
        <v>1314</v>
      </c>
      <c r="B39" t="b">
        <v>1</v>
      </c>
      <c r="C39" t="s">
        <v>359</v>
      </c>
      <c r="D39" s="2" t="s">
        <v>809</v>
      </c>
      <c r="E39">
        <v>0</v>
      </c>
      <c r="F39" t="s">
        <v>471</v>
      </c>
      <c r="G39" t="s">
        <v>473</v>
      </c>
      <c r="H39" t="s">
        <v>473</v>
      </c>
      <c r="I39" s="2" t="s">
        <v>494</v>
      </c>
      <c r="P39" t="b">
        <v>1</v>
      </c>
      <c r="Q39" s="12" t="s">
        <v>872</v>
      </c>
    </row>
    <row r="40" spans="1:17">
      <c r="A40" t="s">
        <v>920</v>
      </c>
      <c r="B40" t="b">
        <v>1</v>
      </c>
      <c r="C40" t="s">
        <v>359</v>
      </c>
      <c r="D40" s="2" t="s">
        <v>810</v>
      </c>
      <c r="E40">
        <v>0</v>
      </c>
      <c r="F40" t="s">
        <v>471</v>
      </c>
      <c r="G40" t="s">
        <v>499</v>
      </c>
      <c r="H40" t="s">
        <v>499</v>
      </c>
      <c r="I40" s="2" t="s">
        <v>494</v>
      </c>
      <c r="P40" t="b">
        <v>1</v>
      </c>
      <c r="Q40" s="12" t="s">
        <v>603</v>
      </c>
    </row>
    <row r="41" spans="1:17">
      <c r="A41" t="s">
        <v>1315</v>
      </c>
      <c r="B41" t="b">
        <v>1</v>
      </c>
      <c r="C41" t="s">
        <v>359</v>
      </c>
      <c r="D41" s="2" t="s">
        <v>811</v>
      </c>
      <c r="E41">
        <v>0</v>
      </c>
      <c r="F41" t="s">
        <v>471</v>
      </c>
      <c r="G41" t="s">
        <v>473</v>
      </c>
      <c r="H41" t="s">
        <v>473</v>
      </c>
      <c r="I41" s="2" t="s">
        <v>494</v>
      </c>
      <c r="P41" t="b">
        <v>1</v>
      </c>
      <c r="Q41" s="12" t="s">
        <v>631</v>
      </c>
    </row>
    <row r="42" spans="1:17">
      <c r="A42" t="s">
        <v>1316</v>
      </c>
      <c r="B42" t="b">
        <v>1</v>
      </c>
      <c r="C42" t="s">
        <v>359</v>
      </c>
      <c r="D42" s="2" t="s">
        <v>812</v>
      </c>
      <c r="E42">
        <v>0</v>
      </c>
      <c r="F42" t="s">
        <v>471</v>
      </c>
      <c r="G42" t="s">
        <v>473</v>
      </c>
      <c r="H42" t="s">
        <v>473</v>
      </c>
      <c r="I42" s="2" t="s">
        <v>494</v>
      </c>
      <c r="P42" t="b">
        <v>1</v>
      </c>
      <c r="Q42" s="12" t="s">
        <v>873</v>
      </c>
    </row>
    <row r="43" spans="1:17">
      <c r="A43" t="s">
        <v>1317</v>
      </c>
      <c r="B43" t="b">
        <v>1</v>
      </c>
      <c r="C43" t="s">
        <v>359</v>
      </c>
      <c r="D43" s="2" t="s">
        <v>813</v>
      </c>
      <c r="E43">
        <v>0</v>
      </c>
      <c r="F43" t="s">
        <v>471</v>
      </c>
      <c r="G43" t="s">
        <v>499</v>
      </c>
      <c r="H43" t="s">
        <v>499</v>
      </c>
      <c r="I43" s="2" t="s">
        <v>494</v>
      </c>
      <c r="P43" t="b">
        <v>1</v>
      </c>
      <c r="Q43" s="12" t="s">
        <v>603</v>
      </c>
    </row>
    <row r="44" spans="1:17">
      <c r="A44" t="s">
        <v>1318</v>
      </c>
      <c r="B44" t="b">
        <v>1</v>
      </c>
      <c r="C44" t="s">
        <v>359</v>
      </c>
      <c r="D44" s="2"/>
      <c r="E44">
        <v>0</v>
      </c>
      <c r="F44" s="2" t="s">
        <v>914</v>
      </c>
      <c r="G44" s="2" t="s">
        <v>914</v>
      </c>
      <c r="H44" s="2" t="s">
        <v>914</v>
      </c>
      <c r="I44" s="2" t="s">
        <v>914</v>
      </c>
      <c r="L44">
        <v>5</v>
      </c>
      <c r="P44" t="b">
        <v>0</v>
      </c>
      <c r="Q44" s="12"/>
    </row>
    <row r="45" spans="1:17">
      <c r="A45" t="s">
        <v>727</v>
      </c>
      <c r="B45" t="b">
        <v>1</v>
      </c>
      <c r="C45" t="s">
        <v>727</v>
      </c>
      <c r="D45" s="2" t="s">
        <v>801</v>
      </c>
      <c r="E45">
        <v>0</v>
      </c>
      <c r="F45" t="s">
        <v>471</v>
      </c>
      <c r="G45" t="s">
        <v>499</v>
      </c>
      <c r="I45" s="2" t="s">
        <v>494</v>
      </c>
      <c r="J45">
        <v>0</v>
      </c>
      <c r="P45" t="b">
        <v>0</v>
      </c>
      <c r="Q45" s="12"/>
    </row>
    <row r="46" spans="1:17">
      <c r="A46" t="s">
        <v>727</v>
      </c>
      <c r="B46" t="b">
        <v>1</v>
      </c>
      <c r="C46" t="s">
        <v>727</v>
      </c>
      <c r="D46" t="s">
        <v>803</v>
      </c>
      <c r="E46">
        <v>1</v>
      </c>
      <c r="F46" t="s">
        <v>730</v>
      </c>
      <c r="G46" t="s">
        <v>499</v>
      </c>
      <c r="H46" t="s">
        <v>731</v>
      </c>
      <c r="I46" t="s">
        <v>731</v>
      </c>
      <c r="N46" t="s">
        <v>510</v>
      </c>
      <c r="O46" t="b">
        <v>1</v>
      </c>
      <c r="P46" t="b">
        <v>0</v>
      </c>
      <c r="Q46" t="s">
        <v>727</v>
      </c>
    </row>
    <row r="47" spans="1:17">
      <c r="A47" t="s">
        <v>732</v>
      </c>
      <c r="B47" t="b">
        <v>1</v>
      </c>
      <c r="C47" t="s">
        <v>727</v>
      </c>
      <c r="D47" s="2" t="s">
        <v>814</v>
      </c>
      <c r="E47">
        <v>0</v>
      </c>
      <c r="F47" t="s">
        <v>471</v>
      </c>
      <c r="G47" t="s">
        <v>473</v>
      </c>
      <c r="H47" t="s">
        <v>473</v>
      </c>
      <c r="I47" s="2" t="s">
        <v>494</v>
      </c>
      <c r="P47" t="b">
        <v>1</v>
      </c>
      <c r="Q47" s="12" t="s">
        <v>631</v>
      </c>
    </row>
    <row r="48" spans="1:17">
      <c r="A48" t="s">
        <v>859</v>
      </c>
      <c r="B48" t="b">
        <v>1</v>
      </c>
      <c r="C48" t="s">
        <v>727</v>
      </c>
      <c r="D48" s="2" t="s">
        <v>815</v>
      </c>
      <c r="E48">
        <v>0</v>
      </c>
      <c r="F48" t="s">
        <v>471</v>
      </c>
      <c r="G48" t="s">
        <v>364</v>
      </c>
      <c r="H48" t="s">
        <v>364</v>
      </c>
      <c r="I48" t="s">
        <v>364</v>
      </c>
      <c r="M48" t="s">
        <v>905</v>
      </c>
      <c r="P48" t="b">
        <v>0</v>
      </c>
      <c r="Q48" s="12" t="s">
        <v>871</v>
      </c>
    </row>
    <row r="49" spans="1:17">
      <c r="A49" t="s">
        <v>733</v>
      </c>
      <c r="B49" t="b">
        <v>1</v>
      </c>
      <c r="C49" t="s">
        <v>727</v>
      </c>
      <c r="D49" s="2" t="s">
        <v>1150</v>
      </c>
      <c r="E49">
        <v>0</v>
      </c>
      <c r="F49" t="s">
        <v>471</v>
      </c>
      <c r="G49" t="s">
        <v>473</v>
      </c>
      <c r="H49" t="s">
        <v>473</v>
      </c>
      <c r="I49" s="2" t="s">
        <v>494</v>
      </c>
      <c r="P49" t="b">
        <v>1</v>
      </c>
      <c r="Q49" s="12" t="s">
        <v>631</v>
      </c>
    </row>
    <row r="50" spans="1:17">
      <c r="A50" t="s">
        <v>860</v>
      </c>
      <c r="B50" t="b">
        <v>1</v>
      </c>
      <c r="C50" t="s">
        <v>727</v>
      </c>
      <c r="D50" s="2" t="s">
        <v>1157</v>
      </c>
      <c r="E50">
        <v>0</v>
      </c>
      <c r="F50" t="s">
        <v>471</v>
      </c>
      <c r="G50" t="s">
        <v>364</v>
      </c>
      <c r="H50" t="s">
        <v>364</v>
      </c>
      <c r="I50" t="s">
        <v>364</v>
      </c>
      <c r="M50" t="s">
        <v>905</v>
      </c>
      <c r="P50" t="b">
        <v>0</v>
      </c>
      <c r="Q50" s="12" t="s">
        <v>871</v>
      </c>
    </row>
    <row r="51" spans="1:17">
      <c r="A51" t="s">
        <v>1211</v>
      </c>
      <c r="B51" t="b">
        <v>1</v>
      </c>
      <c r="C51" t="s">
        <v>727</v>
      </c>
      <c r="D51" s="2" t="s">
        <v>1155</v>
      </c>
      <c r="E51">
        <v>0</v>
      </c>
      <c r="F51" t="s">
        <v>471</v>
      </c>
      <c r="G51" t="s">
        <v>473</v>
      </c>
      <c r="H51" t="s">
        <v>473</v>
      </c>
      <c r="I51" s="2" t="s">
        <v>494</v>
      </c>
      <c r="P51" t="b">
        <v>1</v>
      </c>
      <c r="Q51" s="12" t="s">
        <v>631</v>
      </c>
    </row>
    <row r="52" spans="1:17">
      <c r="A52" t="s">
        <v>861</v>
      </c>
      <c r="B52" t="b">
        <v>1</v>
      </c>
      <c r="C52" t="s">
        <v>727</v>
      </c>
      <c r="D52" s="2" t="s">
        <v>1156</v>
      </c>
      <c r="E52">
        <v>0</v>
      </c>
      <c r="F52" t="s">
        <v>471</v>
      </c>
      <c r="G52" t="s">
        <v>364</v>
      </c>
      <c r="H52" t="s">
        <v>364</v>
      </c>
      <c r="I52" t="s">
        <v>364</v>
      </c>
      <c r="M52" t="s">
        <v>905</v>
      </c>
      <c r="P52" t="b">
        <v>0</v>
      </c>
      <c r="Q52" s="12" t="s">
        <v>871</v>
      </c>
    </row>
    <row r="53" spans="1:17">
      <c r="A53" t="s">
        <v>734</v>
      </c>
      <c r="B53" t="b">
        <v>1</v>
      </c>
      <c r="C53" t="s">
        <v>727</v>
      </c>
      <c r="D53" s="2" t="s">
        <v>1158</v>
      </c>
      <c r="E53">
        <v>0</v>
      </c>
      <c r="F53" t="s">
        <v>471</v>
      </c>
      <c r="G53" t="s">
        <v>473</v>
      </c>
      <c r="H53" t="s">
        <v>473</v>
      </c>
      <c r="I53" s="2" t="s">
        <v>494</v>
      </c>
      <c r="P53" t="b">
        <v>1</v>
      </c>
      <c r="Q53" s="12" t="s">
        <v>631</v>
      </c>
    </row>
    <row r="54" spans="1:17">
      <c r="A54" t="s">
        <v>862</v>
      </c>
      <c r="B54" t="b">
        <v>1</v>
      </c>
      <c r="C54" t="s">
        <v>727</v>
      </c>
      <c r="D54" s="2" t="s">
        <v>1159</v>
      </c>
      <c r="E54">
        <v>0</v>
      </c>
      <c r="F54" t="s">
        <v>471</v>
      </c>
      <c r="G54" t="s">
        <v>364</v>
      </c>
      <c r="H54" t="s">
        <v>364</v>
      </c>
      <c r="I54" t="s">
        <v>364</v>
      </c>
      <c r="M54" t="s">
        <v>905</v>
      </c>
      <c r="P54" t="b">
        <v>0</v>
      </c>
      <c r="Q54" s="12" t="s">
        <v>871</v>
      </c>
    </row>
    <row r="55" spans="1:17">
      <c r="A55" t="s">
        <v>1217</v>
      </c>
      <c r="B55" t="b">
        <v>1</v>
      </c>
      <c r="C55" t="s">
        <v>727</v>
      </c>
      <c r="D55" s="2" t="s">
        <v>1160</v>
      </c>
      <c r="E55">
        <v>0</v>
      </c>
      <c r="F55" t="s">
        <v>471</v>
      </c>
      <c r="G55" t="s">
        <v>473</v>
      </c>
      <c r="H55" t="s">
        <v>473</v>
      </c>
      <c r="I55" s="2" t="s">
        <v>494</v>
      </c>
      <c r="P55" t="b">
        <v>1</v>
      </c>
      <c r="Q55" s="12" t="s">
        <v>631</v>
      </c>
    </row>
    <row r="56" spans="1:17">
      <c r="A56" t="s">
        <v>863</v>
      </c>
      <c r="B56" t="b">
        <v>1</v>
      </c>
      <c r="C56" t="s">
        <v>727</v>
      </c>
      <c r="D56" s="2" t="s">
        <v>1161</v>
      </c>
      <c r="E56">
        <v>0</v>
      </c>
      <c r="F56" t="s">
        <v>471</v>
      </c>
      <c r="G56" t="s">
        <v>364</v>
      </c>
      <c r="H56" t="s">
        <v>364</v>
      </c>
      <c r="I56" t="s">
        <v>364</v>
      </c>
      <c r="M56" t="s">
        <v>905</v>
      </c>
      <c r="P56" t="b">
        <v>0</v>
      </c>
      <c r="Q56" s="12" t="s">
        <v>871</v>
      </c>
    </row>
    <row r="57" spans="1:17">
      <c r="A57" t="s">
        <v>736</v>
      </c>
      <c r="B57" t="b">
        <v>1</v>
      </c>
      <c r="C57" t="s">
        <v>727</v>
      </c>
      <c r="D57" s="2" t="s">
        <v>1162</v>
      </c>
      <c r="E57">
        <v>0</v>
      </c>
      <c r="F57" t="s">
        <v>471</v>
      </c>
      <c r="G57" t="s">
        <v>473</v>
      </c>
      <c r="H57" t="s">
        <v>473</v>
      </c>
      <c r="I57" s="2" t="s">
        <v>494</v>
      </c>
      <c r="P57" t="b">
        <v>1</v>
      </c>
      <c r="Q57" s="12" t="s">
        <v>631</v>
      </c>
    </row>
    <row r="58" spans="1:17">
      <c r="A58" t="s">
        <v>864</v>
      </c>
      <c r="B58" t="b">
        <v>1</v>
      </c>
      <c r="C58" t="s">
        <v>727</v>
      </c>
      <c r="D58" s="2" t="s">
        <v>1163</v>
      </c>
      <c r="E58">
        <v>0</v>
      </c>
      <c r="F58" t="s">
        <v>471</v>
      </c>
      <c r="G58" t="s">
        <v>364</v>
      </c>
      <c r="H58" t="s">
        <v>364</v>
      </c>
      <c r="I58" t="s">
        <v>364</v>
      </c>
      <c r="M58" t="s">
        <v>905</v>
      </c>
      <c r="P58" t="b">
        <v>0</v>
      </c>
      <c r="Q58" s="12" t="s">
        <v>871</v>
      </c>
    </row>
    <row r="59" spans="1:17">
      <c r="A59" t="s">
        <v>737</v>
      </c>
      <c r="B59" t="b">
        <v>1</v>
      </c>
      <c r="C59" t="s">
        <v>727</v>
      </c>
      <c r="D59" s="2" t="s">
        <v>1164</v>
      </c>
      <c r="E59">
        <v>0</v>
      </c>
      <c r="F59" t="s">
        <v>471</v>
      </c>
      <c r="G59" t="s">
        <v>473</v>
      </c>
      <c r="H59" t="s">
        <v>473</v>
      </c>
      <c r="I59" s="2" t="s">
        <v>494</v>
      </c>
      <c r="P59" t="b">
        <v>1</v>
      </c>
      <c r="Q59" s="12" t="s">
        <v>631</v>
      </c>
    </row>
    <row r="60" spans="1:17">
      <c r="A60" t="s">
        <v>865</v>
      </c>
      <c r="B60" t="b">
        <v>1</v>
      </c>
      <c r="C60" t="s">
        <v>727</v>
      </c>
      <c r="D60" s="2" t="s">
        <v>1165</v>
      </c>
      <c r="E60">
        <v>0</v>
      </c>
      <c r="F60" t="s">
        <v>471</v>
      </c>
      <c r="G60" t="s">
        <v>364</v>
      </c>
      <c r="H60" t="s">
        <v>364</v>
      </c>
      <c r="I60" t="s">
        <v>364</v>
      </c>
      <c r="M60" t="s">
        <v>905</v>
      </c>
      <c r="P60" t="b">
        <v>0</v>
      </c>
      <c r="Q60" s="12" t="s">
        <v>871</v>
      </c>
    </row>
    <row r="61" spans="1:17">
      <c r="A61" s="6" t="s">
        <v>738</v>
      </c>
      <c r="B61" t="b">
        <v>1</v>
      </c>
      <c r="C61" t="s">
        <v>727</v>
      </c>
      <c r="D61" s="2" t="s">
        <v>1166</v>
      </c>
      <c r="E61">
        <v>0</v>
      </c>
      <c r="F61" t="s">
        <v>471</v>
      </c>
      <c r="G61" t="s">
        <v>473</v>
      </c>
      <c r="H61" t="s">
        <v>473</v>
      </c>
      <c r="I61" s="2" t="s">
        <v>494</v>
      </c>
      <c r="P61" t="b">
        <v>1</v>
      </c>
      <c r="Q61" s="12" t="s">
        <v>631</v>
      </c>
    </row>
    <row r="62" spans="1:17">
      <c r="A62" t="s">
        <v>866</v>
      </c>
      <c r="B62" t="b">
        <v>1</v>
      </c>
      <c r="C62" t="s">
        <v>727</v>
      </c>
      <c r="D62" s="2" t="s">
        <v>1167</v>
      </c>
      <c r="E62">
        <v>0</v>
      </c>
      <c r="F62" t="s">
        <v>471</v>
      </c>
      <c r="G62" t="s">
        <v>364</v>
      </c>
      <c r="H62" t="s">
        <v>364</v>
      </c>
      <c r="I62" t="s">
        <v>364</v>
      </c>
      <c r="M62" t="s">
        <v>905</v>
      </c>
      <c r="P62" t="b">
        <v>0</v>
      </c>
      <c r="Q62" s="12" t="s">
        <v>871</v>
      </c>
    </row>
    <row r="63" spans="1:17" ht="16.5">
      <c r="A63" s="18" t="s">
        <v>874</v>
      </c>
      <c r="B63" t="b">
        <v>1</v>
      </c>
      <c r="C63" t="s">
        <v>727</v>
      </c>
      <c r="D63" s="2" t="s">
        <v>1151</v>
      </c>
      <c r="E63">
        <v>0</v>
      </c>
      <c r="F63" t="s">
        <v>471</v>
      </c>
      <c r="G63" t="s">
        <v>499</v>
      </c>
      <c r="H63" t="s">
        <v>499</v>
      </c>
      <c r="I63" s="2" t="s">
        <v>494</v>
      </c>
      <c r="L63">
        <v>5</v>
      </c>
      <c r="P63" t="b">
        <v>0</v>
      </c>
      <c r="Q63" s="12"/>
    </row>
    <row r="64" spans="1:17">
      <c r="A64" t="s">
        <v>1168</v>
      </c>
      <c r="B64" t="b">
        <v>1</v>
      </c>
      <c r="C64" t="s">
        <v>727</v>
      </c>
      <c r="D64" t="s">
        <v>804</v>
      </c>
      <c r="E64">
        <v>0</v>
      </c>
      <c r="F64" t="s">
        <v>804</v>
      </c>
      <c r="G64" t="s">
        <v>804</v>
      </c>
      <c r="H64" t="s">
        <v>804</v>
      </c>
      <c r="P64" t="b">
        <v>0</v>
      </c>
    </row>
    <row r="65" spans="1:17">
      <c r="A65" t="s">
        <v>755</v>
      </c>
      <c r="B65" t="b">
        <v>1</v>
      </c>
      <c r="C65" t="s">
        <v>755</v>
      </c>
      <c r="D65" s="2" t="s">
        <v>801</v>
      </c>
      <c r="E65">
        <v>0</v>
      </c>
      <c r="F65" t="s">
        <v>471</v>
      </c>
      <c r="G65" t="s">
        <v>499</v>
      </c>
      <c r="I65" s="2" t="s">
        <v>494</v>
      </c>
      <c r="J65">
        <v>0</v>
      </c>
      <c r="P65" t="b">
        <v>0</v>
      </c>
      <c r="Q65" s="12"/>
    </row>
    <row r="66" spans="1:17">
      <c r="A66" t="s">
        <v>755</v>
      </c>
      <c r="B66" t="b">
        <v>1</v>
      </c>
      <c r="C66" t="s">
        <v>755</v>
      </c>
      <c r="D66" t="s">
        <v>803</v>
      </c>
      <c r="E66">
        <v>1</v>
      </c>
      <c r="F66" t="s">
        <v>730</v>
      </c>
      <c r="G66" t="s">
        <v>499</v>
      </c>
      <c r="H66" t="s">
        <v>731</v>
      </c>
      <c r="I66" t="s">
        <v>731</v>
      </c>
      <c r="N66" t="s">
        <v>510</v>
      </c>
      <c r="O66" t="b">
        <v>1</v>
      </c>
      <c r="P66" t="b">
        <v>0</v>
      </c>
      <c r="Q66" t="s">
        <v>755</v>
      </c>
    </row>
    <row r="67" spans="1:17">
      <c r="A67" s="28" t="s">
        <v>575</v>
      </c>
      <c r="B67" t="b">
        <v>1</v>
      </c>
      <c r="C67" t="s">
        <v>755</v>
      </c>
      <c r="D67" s="2" t="s">
        <v>1169</v>
      </c>
      <c r="E67">
        <v>0</v>
      </c>
      <c r="F67" t="s">
        <v>471</v>
      </c>
      <c r="G67" t="s">
        <v>473</v>
      </c>
      <c r="H67" t="s">
        <v>473</v>
      </c>
      <c r="I67" s="2" t="s">
        <v>494</v>
      </c>
      <c r="J67">
        <v>4</v>
      </c>
      <c r="L67">
        <v>5</v>
      </c>
      <c r="P67" t="b">
        <v>1</v>
      </c>
      <c r="Q67" s="12" t="s">
        <v>631</v>
      </c>
    </row>
    <row r="68" spans="1:17">
      <c r="A68" s="28" t="s">
        <v>576</v>
      </c>
      <c r="B68" t="b">
        <v>1</v>
      </c>
      <c r="C68" t="s">
        <v>755</v>
      </c>
      <c r="D68" s="2" t="s">
        <v>1170</v>
      </c>
      <c r="E68">
        <v>0</v>
      </c>
      <c r="F68" t="s">
        <v>471</v>
      </c>
      <c r="G68" t="s">
        <v>473</v>
      </c>
      <c r="H68" t="s">
        <v>473</v>
      </c>
      <c r="I68" s="2" t="s">
        <v>494</v>
      </c>
      <c r="J68">
        <v>0</v>
      </c>
      <c r="L68">
        <v>5</v>
      </c>
      <c r="P68" t="b">
        <v>1</v>
      </c>
      <c r="Q68" s="12" t="s">
        <v>631</v>
      </c>
    </row>
    <row r="69" spans="1:17">
      <c r="A69" s="28" t="s">
        <v>577</v>
      </c>
      <c r="B69" t="b">
        <v>1</v>
      </c>
      <c r="C69" t="s">
        <v>755</v>
      </c>
      <c r="D69" s="2" t="s">
        <v>1171</v>
      </c>
      <c r="E69">
        <v>0</v>
      </c>
      <c r="F69" t="s">
        <v>471</v>
      </c>
      <c r="G69" t="s">
        <v>473</v>
      </c>
      <c r="H69" t="s">
        <v>473</v>
      </c>
      <c r="I69" s="2" t="s">
        <v>494</v>
      </c>
      <c r="L69">
        <v>5</v>
      </c>
      <c r="M69" s="12"/>
      <c r="P69" t="b">
        <v>1</v>
      </c>
      <c r="Q69" s="12" t="s">
        <v>631</v>
      </c>
    </row>
    <row r="70" spans="1:17">
      <c r="A70" s="28" t="s">
        <v>578</v>
      </c>
      <c r="B70" t="b">
        <v>1</v>
      </c>
      <c r="C70" t="s">
        <v>755</v>
      </c>
      <c r="D70" s="2" t="s">
        <v>1172</v>
      </c>
      <c r="E70">
        <v>0</v>
      </c>
      <c r="F70" t="s">
        <v>471</v>
      </c>
      <c r="G70" t="s">
        <v>473</v>
      </c>
      <c r="H70" t="s">
        <v>473</v>
      </c>
      <c r="I70" s="2" t="s">
        <v>494</v>
      </c>
      <c r="P70" t="b">
        <v>1</v>
      </c>
      <c r="Q70" s="12" t="s">
        <v>631</v>
      </c>
    </row>
    <row r="71" spans="1:17">
      <c r="A71" s="28" t="s">
        <v>579</v>
      </c>
      <c r="B71" t="b">
        <v>1</v>
      </c>
      <c r="C71" t="s">
        <v>755</v>
      </c>
      <c r="D71" s="2" t="s">
        <v>1173</v>
      </c>
      <c r="E71">
        <v>0</v>
      </c>
      <c r="F71" t="s">
        <v>471</v>
      </c>
      <c r="G71" t="s">
        <v>473</v>
      </c>
      <c r="H71" t="s">
        <v>473</v>
      </c>
      <c r="I71" s="2" t="s">
        <v>494</v>
      </c>
      <c r="J71">
        <v>0</v>
      </c>
      <c r="L71">
        <v>5</v>
      </c>
      <c r="P71" t="b">
        <v>1</v>
      </c>
      <c r="Q71" s="12" t="s">
        <v>631</v>
      </c>
    </row>
    <row r="72" spans="1:17">
      <c r="A72" t="s">
        <v>580</v>
      </c>
      <c r="B72" t="b">
        <v>1</v>
      </c>
      <c r="C72" t="s">
        <v>755</v>
      </c>
      <c r="D72" s="2" t="s">
        <v>1174</v>
      </c>
      <c r="E72">
        <v>0</v>
      </c>
      <c r="F72" t="s">
        <v>471</v>
      </c>
      <c r="G72" t="s">
        <v>473</v>
      </c>
      <c r="H72" t="s">
        <v>473</v>
      </c>
      <c r="I72" s="2" t="s">
        <v>494</v>
      </c>
      <c r="P72" t="b">
        <v>1</v>
      </c>
      <c r="Q72">
        <v>0</v>
      </c>
    </row>
    <row r="73" spans="1:17">
      <c r="A73" t="s">
        <v>581</v>
      </c>
      <c r="B73" t="b">
        <v>1</v>
      </c>
      <c r="C73" t="s">
        <v>755</v>
      </c>
      <c r="D73" s="2" t="s">
        <v>1175</v>
      </c>
      <c r="E73">
        <v>0</v>
      </c>
      <c r="F73" t="s">
        <v>471</v>
      </c>
      <c r="G73" t="s">
        <v>473</v>
      </c>
      <c r="H73" t="s">
        <v>473</v>
      </c>
      <c r="I73" s="2" t="s">
        <v>494</v>
      </c>
      <c r="P73" t="b">
        <v>1</v>
      </c>
      <c r="Q73" s="12" t="s">
        <v>631</v>
      </c>
    </row>
    <row r="74" spans="1:17">
      <c r="A74" t="s">
        <v>582</v>
      </c>
      <c r="B74" t="b">
        <v>1</v>
      </c>
      <c r="C74" t="s">
        <v>755</v>
      </c>
      <c r="D74" s="2" t="s">
        <v>1176</v>
      </c>
      <c r="E74">
        <v>0</v>
      </c>
      <c r="F74" t="s">
        <v>471</v>
      </c>
      <c r="G74" t="s">
        <v>473</v>
      </c>
      <c r="H74" t="s">
        <v>473</v>
      </c>
      <c r="I74" s="2" t="s">
        <v>494</v>
      </c>
      <c r="P74" t="b">
        <v>1</v>
      </c>
      <c r="Q74" s="12" t="s">
        <v>631</v>
      </c>
    </row>
    <row r="75" spans="1:17">
      <c r="A75" t="s">
        <v>1212</v>
      </c>
      <c r="B75" t="b">
        <v>1</v>
      </c>
      <c r="C75" t="s">
        <v>755</v>
      </c>
      <c r="D75" s="2" t="s">
        <v>1177</v>
      </c>
      <c r="E75">
        <v>0</v>
      </c>
      <c r="F75" t="s">
        <v>471</v>
      </c>
      <c r="G75" t="s">
        <v>473</v>
      </c>
      <c r="H75" t="s">
        <v>473</v>
      </c>
      <c r="I75" s="2" t="s">
        <v>494</v>
      </c>
      <c r="P75" t="b">
        <v>1</v>
      </c>
      <c r="Q75" s="12" t="s">
        <v>631</v>
      </c>
    </row>
    <row r="76" spans="1:17">
      <c r="A76" t="s">
        <v>583</v>
      </c>
      <c r="B76" t="b">
        <v>1</v>
      </c>
      <c r="C76" t="s">
        <v>755</v>
      </c>
      <c r="D76" s="2" t="s">
        <v>1178</v>
      </c>
      <c r="E76">
        <v>0</v>
      </c>
      <c r="F76" t="s">
        <v>471</v>
      </c>
      <c r="G76" t="s">
        <v>473</v>
      </c>
      <c r="H76" t="s">
        <v>473</v>
      </c>
      <c r="I76" s="2" t="s">
        <v>494</v>
      </c>
      <c r="P76" t="b">
        <v>1</v>
      </c>
      <c r="Q76" s="12" t="s">
        <v>631</v>
      </c>
    </row>
    <row r="77" spans="1:17">
      <c r="A77" t="s">
        <v>584</v>
      </c>
      <c r="B77" t="b">
        <v>1</v>
      </c>
      <c r="C77" t="s">
        <v>755</v>
      </c>
      <c r="D77" s="2" t="s">
        <v>1179</v>
      </c>
      <c r="E77">
        <v>0</v>
      </c>
      <c r="F77" t="s">
        <v>471</v>
      </c>
      <c r="G77" t="s">
        <v>473</v>
      </c>
      <c r="H77" t="s">
        <v>473</v>
      </c>
      <c r="I77" s="2" t="s">
        <v>494</v>
      </c>
      <c r="P77" t="b">
        <v>1</v>
      </c>
      <c r="Q77" s="12" t="s">
        <v>631</v>
      </c>
    </row>
    <row r="78" spans="1:17">
      <c r="A78" t="s">
        <v>1213</v>
      </c>
      <c r="B78" t="b">
        <v>1</v>
      </c>
      <c r="C78" t="s">
        <v>755</v>
      </c>
      <c r="D78" s="2" t="s">
        <v>1180</v>
      </c>
      <c r="E78">
        <v>0</v>
      </c>
      <c r="F78" t="s">
        <v>471</v>
      </c>
      <c r="G78" t="s">
        <v>473</v>
      </c>
      <c r="H78" t="s">
        <v>473</v>
      </c>
      <c r="I78" s="2" t="s">
        <v>494</v>
      </c>
      <c r="P78" t="b">
        <v>1</v>
      </c>
      <c r="Q78" s="12" t="s">
        <v>631</v>
      </c>
    </row>
    <row r="79" spans="1:17">
      <c r="A79" t="s">
        <v>585</v>
      </c>
      <c r="B79" t="b">
        <v>1</v>
      </c>
      <c r="C79" t="s">
        <v>755</v>
      </c>
      <c r="D79" s="2" t="s">
        <v>1181</v>
      </c>
      <c r="E79">
        <v>0</v>
      </c>
      <c r="F79" t="s">
        <v>471</v>
      </c>
      <c r="G79" t="s">
        <v>473</v>
      </c>
      <c r="H79" t="s">
        <v>473</v>
      </c>
      <c r="I79" s="2" t="s">
        <v>494</v>
      </c>
      <c r="P79" t="b">
        <v>1</v>
      </c>
      <c r="Q79" s="12" t="s">
        <v>631</v>
      </c>
    </row>
    <row r="80" spans="1:17">
      <c r="A80" t="s">
        <v>586</v>
      </c>
      <c r="B80" t="b">
        <v>1</v>
      </c>
      <c r="C80" t="s">
        <v>755</v>
      </c>
      <c r="D80" s="2" t="s">
        <v>1182</v>
      </c>
      <c r="E80">
        <v>0</v>
      </c>
      <c r="F80" t="s">
        <v>471</v>
      </c>
      <c r="G80" t="s">
        <v>473</v>
      </c>
      <c r="H80" t="s">
        <v>473</v>
      </c>
      <c r="I80" s="2" t="s">
        <v>494</v>
      </c>
      <c r="P80" t="b">
        <v>1</v>
      </c>
      <c r="Q80" s="12" t="s">
        <v>631</v>
      </c>
    </row>
    <row r="81" spans="1:17">
      <c r="A81" t="s">
        <v>587</v>
      </c>
      <c r="B81" t="b">
        <v>1</v>
      </c>
      <c r="C81" t="s">
        <v>755</v>
      </c>
      <c r="D81" s="2" t="s">
        <v>1183</v>
      </c>
      <c r="E81">
        <v>0</v>
      </c>
      <c r="F81" t="s">
        <v>471</v>
      </c>
      <c r="G81" t="s">
        <v>473</v>
      </c>
      <c r="H81" t="s">
        <v>473</v>
      </c>
      <c r="I81" s="2" t="s">
        <v>494</v>
      </c>
      <c r="P81" t="b">
        <v>1</v>
      </c>
      <c r="Q81" s="12" t="s">
        <v>631</v>
      </c>
    </row>
    <row r="82" spans="1:17">
      <c r="A82" t="s">
        <v>588</v>
      </c>
      <c r="B82" t="b">
        <v>1</v>
      </c>
      <c r="C82" t="s">
        <v>755</v>
      </c>
      <c r="D82" s="2" t="s">
        <v>1184</v>
      </c>
      <c r="E82">
        <v>0</v>
      </c>
      <c r="F82" t="s">
        <v>471</v>
      </c>
      <c r="G82" t="s">
        <v>473</v>
      </c>
      <c r="H82" t="s">
        <v>473</v>
      </c>
      <c r="I82" s="2" t="s">
        <v>494</v>
      </c>
      <c r="P82" t="b">
        <v>1</v>
      </c>
      <c r="Q82" s="12" t="s">
        <v>631</v>
      </c>
    </row>
    <row r="83" spans="1:17">
      <c r="A83" t="s">
        <v>589</v>
      </c>
      <c r="B83" t="b">
        <v>1</v>
      </c>
      <c r="C83" t="s">
        <v>755</v>
      </c>
      <c r="D83" s="2" t="s">
        <v>1185</v>
      </c>
      <c r="E83">
        <v>0</v>
      </c>
      <c r="F83" t="s">
        <v>471</v>
      </c>
      <c r="G83" t="s">
        <v>473</v>
      </c>
      <c r="H83" t="s">
        <v>473</v>
      </c>
      <c r="I83" s="2" t="s">
        <v>494</v>
      </c>
      <c r="P83" t="b">
        <v>1</v>
      </c>
      <c r="Q83" s="12" t="s">
        <v>631</v>
      </c>
    </row>
    <row r="84" spans="1:17">
      <c r="A84" t="s">
        <v>1214</v>
      </c>
      <c r="B84" t="b">
        <v>1</v>
      </c>
      <c r="C84" t="s">
        <v>755</v>
      </c>
      <c r="D84" s="2" t="s">
        <v>1186</v>
      </c>
      <c r="E84">
        <v>0</v>
      </c>
      <c r="F84" t="s">
        <v>471</v>
      </c>
      <c r="G84" t="s">
        <v>473</v>
      </c>
      <c r="H84" t="s">
        <v>473</v>
      </c>
      <c r="I84" s="2" t="s">
        <v>494</v>
      </c>
      <c r="P84" t="b">
        <v>1</v>
      </c>
      <c r="Q84" s="12" t="s">
        <v>631</v>
      </c>
    </row>
    <row r="85" spans="1:17">
      <c r="A85" t="s">
        <v>590</v>
      </c>
      <c r="B85" t="b">
        <v>1</v>
      </c>
      <c r="C85" t="s">
        <v>755</v>
      </c>
      <c r="D85" s="2" t="s">
        <v>1187</v>
      </c>
      <c r="E85">
        <v>0</v>
      </c>
      <c r="F85" t="s">
        <v>471</v>
      </c>
      <c r="G85" t="s">
        <v>473</v>
      </c>
      <c r="H85" t="s">
        <v>473</v>
      </c>
      <c r="I85" s="2" t="s">
        <v>494</v>
      </c>
      <c r="P85" t="b">
        <v>1</v>
      </c>
      <c r="Q85" s="12" t="s">
        <v>631</v>
      </c>
    </row>
    <row r="86" spans="1:17">
      <c r="A86" t="s">
        <v>867</v>
      </c>
      <c r="B86" t="b">
        <v>1</v>
      </c>
      <c r="C86" t="s">
        <v>755</v>
      </c>
      <c r="D86" s="2" t="s">
        <v>1188</v>
      </c>
      <c r="E86">
        <v>0</v>
      </c>
      <c r="F86" t="s">
        <v>471</v>
      </c>
      <c r="G86" t="s">
        <v>364</v>
      </c>
      <c r="H86" t="s">
        <v>364</v>
      </c>
      <c r="I86" t="s">
        <v>364</v>
      </c>
      <c r="M86" t="s">
        <v>905</v>
      </c>
      <c r="P86" t="b">
        <v>0</v>
      </c>
      <c r="Q86" s="12" t="s">
        <v>871</v>
      </c>
    </row>
    <row r="87" spans="1:17">
      <c r="A87" t="s">
        <v>868</v>
      </c>
      <c r="B87" t="b">
        <v>1</v>
      </c>
      <c r="C87" t="s">
        <v>755</v>
      </c>
      <c r="D87" s="2" t="s">
        <v>1189</v>
      </c>
      <c r="E87">
        <v>0</v>
      </c>
      <c r="F87" t="s">
        <v>471</v>
      </c>
      <c r="G87" t="s">
        <v>364</v>
      </c>
      <c r="H87" t="s">
        <v>364</v>
      </c>
      <c r="I87" t="s">
        <v>364</v>
      </c>
      <c r="M87" t="s">
        <v>905</v>
      </c>
      <c r="P87" t="b">
        <v>0</v>
      </c>
      <c r="Q87" s="12" t="s">
        <v>871</v>
      </c>
    </row>
    <row r="88" spans="1:17">
      <c r="A88" t="s">
        <v>869</v>
      </c>
      <c r="B88" t="b">
        <v>1</v>
      </c>
      <c r="C88" t="s">
        <v>755</v>
      </c>
      <c r="D88" s="2" t="s">
        <v>1190</v>
      </c>
      <c r="E88">
        <v>0</v>
      </c>
      <c r="F88" t="s">
        <v>471</v>
      </c>
      <c r="G88" t="s">
        <v>364</v>
      </c>
      <c r="H88" t="s">
        <v>364</v>
      </c>
      <c r="I88" t="s">
        <v>364</v>
      </c>
      <c r="M88" t="s">
        <v>905</v>
      </c>
      <c r="P88" t="b">
        <v>0</v>
      </c>
      <c r="Q88" s="12" t="s">
        <v>871</v>
      </c>
    </row>
    <row r="89" spans="1:17" ht="16.5">
      <c r="A89" s="18" t="s">
        <v>916</v>
      </c>
      <c r="B89" t="b">
        <v>1</v>
      </c>
      <c r="C89" t="s">
        <v>755</v>
      </c>
      <c r="D89" s="2" t="s">
        <v>1192</v>
      </c>
      <c r="E89">
        <v>0</v>
      </c>
      <c r="F89" t="s">
        <v>471</v>
      </c>
      <c r="G89" t="s">
        <v>499</v>
      </c>
      <c r="H89" t="s">
        <v>499</v>
      </c>
      <c r="I89" s="2" t="s">
        <v>494</v>
      </c>
      <c r="L89">
        <v>5</v>
      </c>
      <c r="P89" t="b">
        <v>0</v>
      </c>
      <c r="Q89" s="12"/>
    </row>
    <row r="90" spans="1:17">
      <c r="A90" t="s">
        <v>1191</v>
      </c>
      <c r="B90" t="b">
        <v>1</v>
      </c>
      <c r="C90" t="s">
        <v>755</v>
      </c>
      <c r="D90" t="s">
        <v>804</v>
      </c>
      <c r="E90">
        <v>0</v>
      </c>
      <c r="F90" t="s">
        <v>804</v>
      </c>
      <c r="G90" t="s">
        <v>804</v>
      </c>
      <c r="H90" t="s">
        <v>804</v>
      </c>
      <c r="P90" t="b">
        <v>0</v>
      </c>
    </row>
    <row r="91" spans="1:17">
      <c r="A91" t="s">
        <v>400</v>
      </c>
      <c r="B91" t="b">
        <v>1</v>
      </c>
      <c r="C91" t="s">
        <v>400</v>
      </c>
      <c r="D91" s="2" t="s">
        <v>801</v>
      </c>
      <c r="E91">
        <v>0</v>
      </c>
      <c r="F91" t="s">
        <v>471</v>
      </c>
      <c r="G91" t="s">
        <v>499</v>
      </c>
      <c r="I91" s="2" t="s">
        <v>494</v>
      </c>
      <c r="J91">
        <v>0</v>
      </c>
      <c r="P91" t="b">
        <v>0</v>
      </c>
      <c r="Q91" s="12"/>
    </row>
    <row r="92" spans="1:17" ht="16.5">
      <c r="A92" s="18" t="s">
        <v>400</v>
      </c>
      <c r="B92" t="b">
        <v>1</v>
      </c>
      <c r="C92" t="s">
        <v>400</v>
      </c>
      <c r="D92" t="s">
        <v>803</v>
      </c>
      <c r="E92">
        <v>1</v>
      </c>
      <c r="F92" t="s">
        <v>730</v>
      </c>
      <c r="G92" t="s">
        <v>499</v>
      </c>
      <c r="H92" t="s">
        <v>731</v>
      </c>
      <c r="I92" t="s">
        <v>731</v>
      </c>
      <c r="N92" t="s">
        <v>510</v>
      </c>
      <c r="O92" t="b">
        <v>1</v>
      </c>
      <c r="P92" t="b">
        <v>0</v>
      </c>
      <c r="Q92" t="s">
        <v>400</v>
      </c>
    </row>
    <row r="93" spans="1:17">
      <c r="A93" t="s">
        <v>547</v>
      </c>
      <c r="B93" t="b">
        <v>1</v>
      </c>
      <c r="C93" t="s">
        <v>400</v>
      </c>
      <c r="D93" s="2" t="s">
        <v>1066</v>
      </c>
      <c r="E93">
        <v>0</v>
      </c>
      <c r="F93" t="s">
        <v>471</v>
      </c>
      <c r="G93" t="s">
        <v>473</v>
      </c>
      <c r="H93" t="s">
        <v>473</v>
      </c>
      <c r="I93" s="2" t="s">
        <v>494</v>
      </c>
      <c r="P93" t="b">
        <v>1</v>
      </c>
      <c r="Q93" s="20" t="s">
        <v>823</v>
      </c>
    </row>
    <row r="94" spans="1:17">
      <c r="A94" t="s">
        <v>402</v>
      </c>
      <c r="B94" t="b">
        <v>1</v>
      </c>
      <c r="C94" t="s">
        <v>400</v>
      </c>
      <c r="D94" s="2" t="s">
        <v>1067</v>
      </c>
      <c r="E94">
        <v>0</v>
      </c>
      <c r="F94" t="s">
        <v>474</v>
      </c>
      <c r="G94" t="s">
        <v>364</v>
      </c>
      <c r="H94" t="s">
        <v>364</v>
      </c>
      <c r="I94" t="s">
        <v>364</v>
      </c>
      <c r="M94" t="s">
        <v>905</v>
      </c>
      <c r="P94" t="b">
        <v>1</v>
      </c>
      <c r="Q94" s="1" t="s">
        <v>597</v>
      </c>
    </row>
    <row r="95" spans="1:17">
      <c r="A95" t="s">
        <v>548</v>
      </c>
      <c r="B95" t="b">
        <v>1</v>
      </c>
      <c r="C95" s="6" t="s">
        <v>400</v>
      </c>
      <c r="D95" s="22" t="s">
        <v>1068</v>
      </c>
      <c r="E95" s="6">
        <v>0</v>
      </c>
      <c r="F95" s="6" t="s">
        <v>474</v>
      </c>
      <c r="G95" s="6" t="s">
        <v>364</v>
      </c>
      <c r="H95" s="6" t="s">
        <v>364</v>
      </c>
      <c r="I95" s="6" t="s">
        <v>364</v>
      </c>
      <c r="M95" t="s">
        <v>905</v>
      </c>
      <c r="P95" t="b">
        <v>1</v>
      </c>
      <c r="Q95" s="1" t="s">
        <v>597</v>
      </c>
    </row>
    <row r="96" spans="1:17" s="6" customFormat="1">
      <c r="A96" t="s">
        <v>549</v>
      </c>
      <c r="B96" t="b">
        <v>1</v>
      </c>
      <c r="C96" t="s">
        <v>400</v>
      </c>
      <c r="D96" s="2" t="s">
        <v>1068</v>
      </c>
      <c r="E96">
        <v>0</v>
      </c>
      <c r="F96" t="s">
        <v>474</v>
      </c>
      <c r="G96" t="s">
        <v>364</v>
      </c>
      <c r="H96" t="s">
        <v>364</v>
      </c>
      <c r="I96" t="s">
        <v>364</v>
      </c>
      <c r="J96"/>
      <c r="K96"/>
      <c r="L96"/>
      <c r="M96" t="s">
        <v>905</v>
      </c>
      <c r="N96"/>
      <c r="O96"/>
      <c r="P96" t="b">
        <v>1</v>
      </c>
      <c r="Q96" s="1" t="s">
        <v>597</v>
      </c>
    </row>
    <row r="97" spans="1:17">
      <c r="A97" t="s">
        <v>550</v>
      </c>
      <c r="B97" t="b">
        <v>1</v>
      </c>
      <c r="C97" t="s">
        <v>400</v>
      </c>
      <c r="D97" s="2" t="s">
        <v>1069</v>
      </c>
      <c r="E97">
        <v>0</v>
      </c>
      <c r="F97" t="s">
        <v>474</v>
      </c>
      <c r="G97" t="s">
        <v>364</v>
      </c>
      <c r="H97" t="s">
        <v>364</v>
      </c>
      <c r="I97" t="s">
        <v>364</v>
      </c>
      <c r="M97" t="s">
        <v>905</v>
      </c>
      <c r="P97" t="b">
        <v>1</v>
      </c>
      <c r="Q97" s="1" t="s">
        <v>597</v>
      </c>
    </row>
    <row r="98" spans="1:17">
      <c r="A98" t="s">
        <v>551</v>
      </c>
      <c r="B98" t="b">
        <v>1</v>
      </c>
      <c r="C98" t="s">
        <v>400</v>
      </c>
      <c r="D98" s="2" t="s">
        <v>1070</v>
      </c>
      <c r="E98">
        <v>0</v>
      </c>
      <c r="F98" t="s">
        <v>474</v>
      </c>
      <c r="G98" t="s">
        <v>364</v>
      </c>
      <c r="H98" t="s">
        <v>364</v>
      </c>
      <c r="I98" t="s">
        <v>364</v>
      </c>
      <c r="M98" t="s">
        <v>905</v>
      </c>
      <c r="P98" t="b">
        <v>1</v>
      </c>
      <c r="Q98" s="1" t="s">
        <v>597</v>
      </c>
    </row>
    <row r="99" spans="1:17">
      <c r="A99" t="s">
        <v>552</v>
      </c>
      <c r="B99" t="b">
        <v>1</v>
      </c>
      <c r="C99" t="s">
        <v>400</v>
      </c>
      <c r="D99" s="2" t="s">
        <v>1071</v>
      </c>
      <c r="E99">
        <v>0</v>
      </c>
      <c r="F99" t="s">
        <v>474</v>
      </c>
      <c r="G99" t="s">
        <v>364</v>
      </c>
      <c r="H99" t="s">
        <v>364</v>
      </c>
      <c r="I99" t="s">
        <v>364</v>
      </c>
      <c r="M99" t="s">
        <v>905</v>
      </c>
      <c r="P99" t="b">
        <v>1</v>
      </c>
      <c r="Q99" s="1" t="s">
        <v>597</v>
      </c>
    </row>
    <row r="100" spans="1:17">
      <c r="A100" t="s">
        <v>553</v>
      </c>
      <c r="B100" t="b">
        <v>1</v>
      </c>
      <c r="C100" t="s">
        <v>400</v>
      </c>
      <c r="D100" s="2" t="s">
        <v>1072</v>
      </c>
      <c r="E100">
        <v>0</v>
      </c>
      <c r="F100" t="s">
        <v>474</v>
      </c>
      <c r="G100" t="s">
        <v>364</v>
      </c>
      <c r="H100" t="s">
        <v>364</v>
      </c>
      <c r="I100" t="s">
        <v>364</v>
      </c>
      <c r="M100" t="s">
        <v>905</v>
      </c>
      <c r="P100" t="b">
        <v>1</v>
      </c>
      <c r="Q100" s="1" t="s">
        <v>630</v>
      </c>
    </row>
    <row r="101" spans="1:17">
      <c r="A101" t="s">
        <v>554</v>
      </c>
      <c r="B101" t="b">
        <v>1</v>
      </c>
      <c r="C101" s="7" t="s">
        <v>400</v>
      </c>
      <c r="D101" s="8" t="s">
        <v>1076</v>
      </c>
      <c r="E101" s="7"/>
      <c r="F101" s="7" t="s">
        <v>474</v>
      </c>
      <c r="G101" s="7" t="s">
        <v>473</v>
      </c>
      <c r="H101" s="7" t="s">
        <v>473</v>
      </c>
      <c r="I101" s="8" t="s">
        <v>494</v>
      </c>
      <c r="P101" t="b">
        <v>1</v>
      </c>
      <c r="Q101" s="1" t="s">
        <v>631</v>
      </c>
    </row>
    <row r="102" spans="1:17" s="7" customFormat="1">
      <c r="A102" t="s">
        <v>555</v>
      </c>
      <c r="B102" t="b">
        <v>1</v>
      </c>
      <c r="C102" s="7" t="s">
        <v>400</v>
      </c>
      <c r="D102" s="8" t="s">
        <v>1077</v>
      </c>
      <c r="F102" s="7" t="s">
        <v>474</v>
      </c>
      <c r="G102" s="7" t="s">
        <v>473</v>
      </c>
      <c r="H102" s="7" t="s">
        <v>473</v>
      </c>
      <c r="I102" s="8" t="s">
        <v>494</v>
      </c>
      <c r="J102"/>
      <c r="K102"/>
      <c r="L102"/>
      <c r="M102"/>
      <c r="N102"/>
      <c r="O102"/>
      <c r="P102" t="b">
        <v>1</v>
      </c>
      <c r="Q102" s="1" t="s">
        <v>631</v>
      </c>
    </row>
    <row r="103" spans="1:17" s="7" customFormat="1">
      <c r="A103" t="s">
        <v>938</v>
      </c>
      <c r="B103" t="b">
        <v>1</v>
      </c>
      <c r="C103" t="s">
        <v>400</v>
      </c>
      <c r="D103" s="2" t="s">
        <v>1073</v>
      </c>
      <c r="E103"/>
      <c r="F103" t="s">
        <v>474</v>
      </c>
      <c r="G103" t="s">
        <v>473</v>
      </c>
      <c r="H103" t="s">
        <v>473</v>
      </c>
      <c r="I103" s="2" t="s">
        <v>494</v>
      </c>
      <c r="J103"/>
      <c r="K103"/>
      <c r="L103"/>
      <c r="M103"/>
      <c r="N103"/>
      <c r="O103"/>
      <c r="P103" t="b">
        <v>1</v>
      </c>
      <c r="Q103" s="1" t="s">
        <v>631</v>
      </c>
    </row>
    <row r="104" spans="1:17">
      <c r="A104" s="6" t="s">
        <v>939</v>
      </c>
      <c r="B104" t="b">
        <v>1</v>
      </c>
      <c r="C104" t="s">
        <v>400</v>
      </c>
      <c r="D104" s="2" t="s">
        <v>1074</v>
      </c>
      <c r="F104" t="s">
        <v>474</v>
      </c>
      <c r="G104" t="s">
        <v>473</v>
      </c>
      <c r="H104" t="s">
        <v>473</v>
      </c>
      <c r="I104" s="2" t="s">
        <v>494</v>
      </c>
      <c r="P104" t="b">
        <v>1</v>
      </c>
      <c r="Q104" s="1" t="s">
        <v>631</v>
      </c>
    </row>
    <row r="105" spans="1:17">
      <c r="A105" t="s">
        <v>940</v>
      </c>
      <c r="B105" t="b">
        <v>1</v>
      </c>
      <c r="C105" t="s">
        <v>400</v>
      </c>
      <c r="D105" s="2" t="s">
        <v>1075</v>
      </c>
      <c r="F105" t="s">
        <v>474</v>
      </c>
      <c r="G105" t="s">
        <v>473</v>
      </c>
      <c r="H105" t="s">
        <v>473</v>
      </c>
      <c r="I105" s="2" t="s">
        <v>494</v>
      </c>
      <c r="P105" t="b">
        <v>1</v>
      </c>
      <c r="Q105" s="1" t="s">
        <v>631</v>
      </c>
    </row>
    <row r="106" spans="1:17">
      <c r="A106" t="s">
        <v>416</v>
      </c>
      <c r="B106" t="b">
        <v>1</v>
      </c>
      <c r="C106" t="s">
        <v>945</v>
      </c>
      <c r="D106" s="2" t="s">
        <v>1151</v>
      </c>
      <c r="E106">
        <v>0</v>
      </c>
      <c r="F106" t="s">
        <v>471</v>
      </c>
      <c r="G106" t="s">
        <v>499</v>
      </c>
      <c r="H106" t="s">
        <v>499</v>
      </c>
      <c r="I106" s="2" t="s">
        <v>494</v>
      </c>
      <c r="P106" t="b">
        <v>0</v>
      </c>
      <c r="Q106" s="1"/>
    </row>
    <row r="107" spans="1:17">
      <c r="A107" t="s">
        <v>1039</v>
      </c>
      <c r="B107" t="b">
        <v>1</v>
      </c>
      <c r="C107" t="s">
        <v>400</v>
      </c>
      <c r="D107" t="s">
        <v>804</v>
      </c>
      <c r="E107">
        <v>0</v>
      </c>
      <c r="F107" t="s">
        <v>804</v>
      </c>
      <c r="G107" t="s">
        <v>804</v>
      </c>
      <c r="H107" t="s">
        <v>804</v>
      </c>
      <c r="I107" t="s">
        <v>804</v>
      </c>
      <c r="M107" s="12"/>
      <c r="P107" t="b">
        <v>0</v>
      </c>
    </row>
    <row r="108" spans="1:17">
      <c r="A108" t="s">
        <v>1048</v>
      </c>
      <c r="B108" t="b">
        <v>1</v>
      </c>
      <c r="C108" t="s">
        <v>400</v>
      </c>
      <c r="D108" s="2" t="s">
        <v>914</v>
      </c>
      <c r="E108">
        <v>0</v>
      </c>
      <c r="F108" s="2" t="s">
        <v>914</v>
      </c>
      <c r="G108" s="2" t="s">
        <v>914</v>
      </c>
      <c r="H108" s="2" t="s">
        <v>914</v>
      </c>
      <c r="I108" s="2" t="s">
        <v>914</v>
      </c>
      <c r="P108" t="b">
        <v>0</v>
      </c>
      <c r="Q108" s="12"/>
    </row>
    <row r="109" spans="1:17">
      <c r="A109" t="s">
        <v>945</v>
      </c>
      <c r="B109" t="b">
        <v>1</v>
      </c>
      <c r="C109" t="s">
        <v>945</v>
      </c>
      <c r="D109" s="2" t="s">
        <v>801</v>
      </c>
      <c r="E109">
        <v>0</v>
      </c>
      <c r="F109" t="s">
        <v>471</v>
      </c>
      <c r="G109" t="s">
        <v>499</v>
      </c>
      <c r="I109" s="2" t="s">
        <v>494</v>
      </c>
      <c r="P109" t="b">
        <v>0</v>
      </c>
      <c r="Q109" s="1"/>
    </row>
    <row r="110" spans="1:17">
      <c r="A110" t="s">
        <v>945</v>
      </c>
      <c r="B110" t="b">
        <v>1</v>
      </c>
      <c r="C110" t="s">
        <v>945</v>
      </c>
      <c r="D110" t="s">
        <v>803</v>
      </c>
      <c r="E110">
        <v>1</v>
      </c>
      <c r="F110" t="s">
        <v>730</v>
      </c>
      <c r="G110" t="s">
        <v>499</v>
      </c>
      <c r="H110" t="s">
        <v>731</v>
      </c>
      <c r="I110" t="s">
        <v>731</v>
      </c>
      <c r="N110" t="s">
        <v>510</v>
      </c>
      <c r="O110" t="b">
        <v>1</v>
      </c>
      <c r="P110" t="b">
        <v>0</v>
      </c>
      <c r="Q110" t="s">
        <v>945</v>
      </c>
    </row>
    <row r="111" spans="1:17" s="6" customFormat="1">
      <c r="A111" s="6" t="s">
        <v>1152</v>
      </c>
      <c r="B111" t="b">
        <v>1</v>
      </c>
      <c r="C111" t="s">
        <v>945</v>
      </c>
      <c r="D111" s="2" t="s">
        <v>1153</v>
      </c>
      <c r="E111" s="6">
        <v>0</v>
      </c>
      <c r="F111" s="6" t="s">
        <v>471</v>
      </c>
      <c r="G111" t="s">
        <v>499</v>
      </c>
      <c r="H111" t="s">
        <v>499</v>
      </c>
      <c r="I111" s="2" t="s">
        <v>494</v>
      </c>
      <c r="J111"/>
      <c r="K111"/>
      <c r="L111"/>
      <c r="M111"/>
      <c r="N111"/>
      <c r="O111"/>
      <c r="P111" t="b">
        <v>0</v>
      </c>
      <c r="Q111" s="1"/>
    </row>
    <row r="112" spans="1:17" s="6" customFormat="1">
      <c r="A112" s="6" t="s">
        <v>1152</v>
      </c>
      <c r="B112" t="b">
        <v>1</v>
      </c>
      <c r="C112" t="s">
        <v>945</v>
      </c>
      <c r="D112" s="22" t="s">
        <v>482</v>
      </c>
      <c r="E112" s="6">
        <v>1</v>
      </c>
      <c r="F112" s="6" t="s">
        <v>730</v>
      </c>
      <c r="G112" t="s">
        <v>499</v>
      </c>
      <c r="H112" t="s">
        <v>499</v>
      </c>
      <c r="I112" s="2" t="s">
        <v>495</v>
      </c>
      <c r="J112">
        <v>0</v>
      </c>
      <c r="K112"/>
      <c r="L112"/>
      <c r="M112"/>
      <c r="N112"/>
      <c r="O112"/>
      <c r="P112" t="b">
        <v>0</v>
      </c>
      <c r="Q112" s="1"/>
    </row>
    <row r="113" spans="1:17" s="6" customFormat="1">
      <c r="A113" s="6" t="s">
        <v>1152</v>
      </c>
      <c r="B113" t="b">
        <v>1</v>
      </c>
      <c r="C113" t="s">
        <v>945</v>
      </c>
      <c r="D113" s="22" t="s">
        <v>486</v>
      </c>
      <c r="E113" s="6">
        <v>2</v>
      </c>
      <c r="F113" s="6" t="s">
        <v>730</v>
      </c>
      <c r="G113" t="s">
        <v>499</v>
      </c>
      <c r="H113" t="s">
        <v>499</v>
      </c>
      <c r="I113" s="2" t="s">
        <v>495</v>
      </c>
      <c r="J113">
        <v>0</v>
      </c>
      <c r="K113"/>
      <c r="L113"/>
      <c r="M113"/>
      <c r="N113"/>
      <c r="O113"/>
      <c r="P113" t="b">
        <v>0</v>
      </c>
      <c r="Q113" s="1"/>
    </row>
    <row r="114" spans="1:17" s="6" customFormat="1">
      <c r="A114" t="s">
        <v>973</v>
      </c>
      <c r="B114" t="b">
        <v>1</v>
      </c>
      <c r="C114" t="s">
        <v>945</v>
      </c>
      <c r="D114" s="2" t="s">
        <v>1154</v>
      </c>
      <c r="E114">
        <v>0</v>
      </c>
      <c r="F114" s="2" t="s">
        <v>471</v>
      </c>
      <c r="G114" s="2" t="s">
        <v>911</v>
      </c>
      <c r="H114" s="2" t="s">
        <v>911</v>
      </c>
      <c r="I114" s="2" t="s">
        <v>494</v>
      </c>
      <c r="J114"/>
      <c r="K114"/>
      <c r="L114"/>
      <c r="M114"/>
      <c r="N114"/>
      <c r="O114"/>
      <c r="P114" t="b">
        <v>0</v>
      </c>
      <c r="Q114" s="1"/>
    </row>
    <row r="115" spans="1:17">
      <c r="A115" t="s">
        <v>1219</v>
      </c>
      <c r="B115" t="b">
        <v>1</v>
      </c>
      <c r="C115" t="s">
        <v>945</v>
      </c>
      <c r="D115" s="2" t="s">
        <v>1078</v>
      </c>
      <c r="E115">
        <v>0</v>
      </c>
      <c r="F115" s="2" t="s">
        <v>471</v>
      </c>
      <c r="G115" t="s">
        <v>473</v>
      </c>
      <c r="H115" t="s">
        <v>473</v>
      </c>
      <c r="I115" s="2" t="s">
        <v>494</v>
      </c>
      <c r="P115" t="b">
        <v>1</v>
      </c>
      <c r="Q115" s="20" t="s">
        <v>824</v>
      </c>
    </row>
    <row r="116" spans="1:17">
      <c r="A116" t="s">
        <v>1220</v>
      </c>
      <c r="B116" t="b">
        <v>1</v>
      </c>
      <c r="C116" t="s">
        <v>945</v>
      </c>
      <c r="D116" s="2" t="s">
        <v>1079</v>
      </c>
      <c r="E116">
        <v>0</v>
      </c>
      <c r="F116" s="2" t="s">
        <v>471</v>
      </c>
      <c r="G116" t="s">
        <v>473</v>
      </c>
      <c r="H116" t="s">
        <v>473</v>
      </c>
      <c r="I116" s="2" t="s">
        <v>494</v>
      </c>
      <c r="P116" t="b">
        <v>1</v>
      </c>
      <c r="Q116" s="1" t="s">
        <v>970</v>
      </c>
    </row>
    <row r="117" spans="1:17">
      <c r="A117" t="s">
        <v>556</v>
      </c>
      <c r="B117" t="b">
        <v>1</v>
      </c>
      <c r="C117" t="s">
        <v>945</v>
      </c>
      <c r="D117" s="2" t="s">
        <v>1201</v>
      </c>
      <c r="E117">
        <v>0</v>
      </c>
      <c r="F117" s="2" t="s">
        <v>471</v>
      </c>
      <c r="G117" t="s">
        <v>473</v>
      </c>
      <c r="H117" t="s">
        <v>473</v>
      </c>
      <c r="I117" s="2" t="s">
        <v>494</v>
      </c>
      <c r="P117" t="b">
        <v>1</v>
      </c>
      <c r="Q117" s="20" t="s">
        <v>822</v>
      </c>
    </row>
    <row r="118" spans="1:17">
      <c r="A118" t="s">
        <v>1231</v>
      </c>
      <c r="B118" t="b">
        <v>1</v>
      </c>
      <c r="C118" t="s">
        <v>945</v>
      </c>
      <c r="D118" s="2" t="s">
        <v>1080</v>
      </c>
      <c r="E118">
        <v>0</v>
      </c>
      <c r="F118" t="s">
        <v>471</v>
      </c>
      <c r="G118" t="s">
        <v>499</v>
      </c>
      <c r="I118" s="2" t="s">
        <v>494</v>
      </c>
      <c r="P118" t="b">
        <v>1</v>
      </c>
      <c r="Q118" s="1"/>
    </row>
    <row r="119" spans="1:17">
      <c r="A119" t="s">
        <v>1231</v>
      </c>
      <c r="B119" t="b">
        <v>1</v>
      </c>
      <c r="C119" t="s">
        <v>945</v>
      </c>
      <c r="D119" s="2" t="s">
        <v>1208</v>
      </c>
      <c r="E119">
        <v>1</v>
      </c>
      <c r="F119" t="s">
        <v>730</v>
      </c>
      <c r="G119" t="s">
        <v>499</v>
      </c>
      <c r="H119" t="s">
        <v>731</v>
      </c>
      <c r="I119" t="s">
        <v>731</v>
      </c>
      <c r="N119" t="s">
        <v>905</v>
      </c>
      <c r="O119" t="b">
        <v>0</v>
      </c>
      <c r="P119" t="b">
        <v>1</v>
      </c>
      <c r="Q119" t="s">
        <v>201</v>
      </c>
    </row>
    <row r="120" spans="1:17">
      <c r="A120" t="s">
        <v>557</v>
      </c>
      <c r="B120" t="b">
        <v>1</v>
      </c>
      <c r="C120" t="s">
        <v>945</v>
      </c>
      <c r="D120" s="2" t="s">
        <v>1202</v>
      </c>
      <c r="E120">
        <v>0</v>
      </c>
      <c r="F120" t="s">
        <v>471</v>
      </c>
      <c r="G120" t="s">
        <v>499</v>
      </c>
      <c r="I120" s="2" t="s">
        <v>494</v>
      </c>
      <c r="P120" t="b">
        <v>1</v>
      </c>
      <c r="Q120" s="20"/>
    </row>
    <row r="121" spans="1:17">
      <c r="A121" t="s">
        <v>557</v>
      </c>
      <c r="B121" t="b">
        <v>1</v>
      </c>
      <c r="C121" t="s">
        <v>945</v>
      </c>
      <c r="D121" s="2" t="s">
        <v>1208</v>
      </c>
      <c r="E121">
        <v>1</v>
      </c>
      <c r="F121" t="s">
        <v>730</v>
      </c>
      <c r="G121" t="s">
        <v>499</v>
      </c>
      <c r="H121" t="s">
        <v>731</v>
      </c>
      <c r="I121" t="s">
        <v>731</v>
      </c>
      <c r="N121" t="s">
        <v>905</v>
      </c>
      <c r="O121" t="b">
        <v>0</v>
      </c>
      <c r="P121" t="b">
        <v>1</v>
      </c>
      <c r="Q121" s="20" t="s">
        <v>650</v>
      </c>
    </row>
    <row r="122" spans="1:17">
      <c r="A122" t="s">
        <v>558</v>
      </c>
      <c r="B122" t="b">
        <v>1</v>
      </c>
      <c r="C122" t="s">
        <v>945</v>
      </c>
      <c r="D122" s="2" t="s">
        <v>1081</v>
      </c>
      <c r="E122">
        <v>0</v>
      </c>
      <c r="F122" t="s">
        <v>474</v>
      </c>
      <c r="G122" t="s">
        <v>364</v>
      </c>
      <c r="H122" t="s">
        <v>364</v>
      </c>
      <c r="I122" t="s">
        <v>364</v>
      </c>
      <c r="M122" t="s">
        <v>905</v>
      </c>
      <c r="P122" t="b">
        <v>1</v>
      </c>
      <c r="Q122" s="1" t="s">
        <v>618</v>
      </c>
    </row>
    <row r="123" spans="1:17">
      <c r="A123" t="s">
        <v>955</v>
      </c>
      <c r="B123" t="b">
        <v>1</v>
      </c>
      <c r="C123" t="s">
        <v>945</v>
      </c>
      <c r="D123" s="2" t="s">
        <v>1203</v>
      </c>
      <c r="E123">
        <v>0</v>
      </c>
      <c r="F123" t="s">
        <v>471</v>
      </c>
      <c r="G123" t="s">
        <v>499</v>
      </c>
      <c r="H123" t="s">
        <v>499</v>
      </c>
      <c r="I123" s="2" t="s">
        <v>494</v>
      </c>
      <c r="L123">
        <v>3</v>
      </c>
      <c r="P123" t="b">
        <v>0</v>
      </c>
      <c r="Q123" s="1"/>
    </row>
    <row r="124" spans="1:17">
      <c r="A124" t="s">
        <v>955</v>
      </c>
      <c r="B124" t="b">
        <v>1</v>
      </c>
      <c r="C124" t="s">
        <v>945</v>
      </c>
      <c r="D124" s="2" t="s">
        <v>473</v>
      </c>
      <c r="E124">
        <v>1</v>
      </c>
      <c r="F124" t="s">
        <v>730</v>
      </c>
      <c r="G124" t="s">
        <v>499</v>
      </c>
      <c r="H124" t="s">
        <v>499</v>
      </c>
      <c r="I124" s="2" t="s">
        <v>495</v>
      </c>
      <c r="J124">
        <v>0</v>
      </c>
      <c r="L124">
        <v>3</v>
      </c>
      <c r="P124" t="b">
        <v>0</v>
      </c>
      <c r="Q124" s="1"/>
    </row>
    <row r="125" spans="1:17">
      <c r="A125" t="s">
        <v>559</v>
      </c>
      <c r="B125" t="b">
        <v>1</v>
      </c>
      <c r="C125" t="s">
        <v>945</v>
      </c>
      <c r="D125" s="2" t="s">
        <v>1204</v>
      </c>
      <c r="E125">
        <v>0</v>
      </c>
      <c r="F125" t="s">
        <v>471</v>
      </c>
      <c r="G125" t="s">
        <v>473</v>
      </c>
      <c r="H125" t="s">
        <v>473</v>
      </c>
      <c r="I125" s="2" t="s">
        <v>494</v>
      </c>
      <c r="P125" t="b">
        <v>1</v>
      </c>
      <c r="Q125" s="1" t="s">
        <v>653</v>
      </c>
    </row>
    <row r="126" spans="1:17">
      <c r="A126" t="s">
        <v>984</v>
      </c>
      <c r="B126" t="b">
        <v>1</v>
      </c>
      <c r="C126" t="s">
        <v>945</v>
      </c>
      <c r="D126" s="2" t="s">
        <v>914</v>
      </c>
      <c r="E126">
        <v>0</v>
      </c>
      <c r="F126" s="2" t="s">
        <v>914</v>
      </c>
      <c r="G126" s="2" t="s">
        <v>914</v>
      </c>
      <c r="H126" s="2" t="s">
        <v>914</v>
      </c>
      <c r="I126" s="2" t="s">
        <v>914</v>
      </c>
      <c r="P126" t="b">
        <v>0</v>
      </c>
      <c r="Q126" s="12"/>
    </row>
    <row r="127" spans="1:17">
      <c r="A127" t="s">
        <v>1050</v>
      </c>
      <c r="B127" t="b">
        <v>1</v>
      </c>
      <c r="C127" t="s">
        <v>945</v>
      </c>
      <c r="D127" s="2" t="s">
        <v>1154</v>
      </c>
      <c r="E127">
        <v>0</v>
      </c>
      <c r="F127" s="2" t="s">
        <v>471</v>
      </c>
      <c r="G127" s="2" t="s">
        <v>911</v>
      </c>
      <c r="H127" s="2" t="s">
        <v>911</v>
      </c>
      <c r="I127" s="2" t="s">
        <v>494</v>
      </c>
      <c r="P127" t="b">
        <v>0</v>
      </c>
      <c r="Q127" s="1"/>
    </row>
    <row r="128" spans="1:17">
      <c r="A128" t="s">
        <v>560</v>
      </c>
      <c r="B128" t="b">
        <v>1</v>
      </c>
      <c r="C128" t="s">
        <v>945</v>
      </c>
      <c r="D128" s="2" t="s">
        <v>1082</v>
      </c>
      <c r="E128">
        <v>0</v>
      </c>
      <c r="F128" s="2" t="s">
        <v>474</v>
      </c>
      <c r="G128" t="s">
        <v>364</v>
      </c>
      <c r="H128" t="s">
        <v>364</v>
      </c>
      <c r="I128" t="s">
        <v>364</v>
      </c>
      <c r="M128" t="s">
        <v>905</v>
      </c>
      <c r="P128" t="b">
        <v>1</v>
      </c>
      <c r="Q128" s="1" t="s">
        <v>655</v>
      </c>
    </row>
    <row r="129" spans="1:17" ht="16.5">
      <c r="A129" s="6" t="s">
        <v>561</v>
      </c>
      <c r="B129" s="6" t="b">
        <v>1</v>
      </c>
      <c r="C129" s="6" t="s">
        <v>945</v>
      </c>
      <c r="D129" s="2" t="s">
        <v>1205</v>
      </c>
      <c r="E129" s="6">
        <v>0</v>
      </c>
      <c r="F129" s="2" t="s">
        <v>474</v>
      </c>
      <c r="G129" s="6" t="s">
        <v>364</v>
      </c>
      <c r="H129" s="6" t="s">
        <v>364</v>
      </c>
      <c r="I129" s="6" t="s">
        <v>364</v>
      </c>
      <c r="M129" t="s">
        <v>905</v>
      </c>
      <c r="P129" t="b">
        <v>1</v>
      </c>
      <c r="Q129" s="18" t="s">
        <v>1052</v>
      </c>
    </row>
    <row r="130" spans="1:17" ht="16.5">
      <c r="A130" s="18" t="s">
        <v>1221</v>
      </c>
      <c r="B130" t="b">
        <v>1</v>
      </c>
      <c r="C130" t="s">
        <v>945</v>
      </c>
      <c r="D130" s="2" t="s">
        <v>1247</v>
      </c>
      <c r="E130">
        <v>0</v>
      </c>
      <c r="F130" t="s">
        <v>474</v>
      </c>
      <c r="G130" t="s">
        <v>473</v>
      </c>
      <c r="H130" t="s">
        <v>473</v>
      </c>
      <c r="I130" s="2" t="s">
        <v>494</v>
      </c>
      <c r="P130" t="b">
        <v>0</v>
      </c>
      <c r="Q130" s="18">
        <v>0</v>
      </c>
    </row>
    <row r="131" spans="1:17" ht="16.5">
      <c r="A131" s="16" t="s">
        <v>1222</v>
      </c>
      <c r="B131" t="b">
        <v>1</v>
      </c>
      <c r="C131" t="s">
        <v>945</v>
      </c>
      <c r="D131" s="2" t="s">
        <v>1248</v>
      </c>
      <c r="E131">
        <v>0</v>
      </c>
      <c r="F131" t="s">
        <v>474</v>
      </c>
      <c r="G131" t="s">
        <v>473</v>
      </c>
      <c r="H131" t="s">
        <v>473</v>
      </c>
      <c r="I131" s="2" t="s">
        <v>494</v>
      </c>
      <c r="P131" t="b">
        <v>0</v>
      </c>
      <c r="Q131" s="18">
        <v>0</v>
      </c>
    </row>
    <row r="132" spans="1:17" ht="16.5">
      <c r="A132" s="18" t="s">
        <v>1223</v>
      </c>
      <c r="B132" t="b">
        <v>1</v>
      </c>
      <c r="C132" t="s">
        <v>945</v>
      </c>
      <c r="D132" s="2" t="s">
        <v>1249</v>
      </c>
      <c r="E132">
        <v>0</v>
      </c>
      <c r="F132" t="s">
        <v>474</v>
      </c>
      <c r="G132" t="s">
        <v>364</v>
      </c>
      <c r="H132" t="s">
        <v>364</v>
      </c>
      <c r="I132" t="s">
        <v>364</v>
      </c>
      <c r="J132">
        <v>0</v>
      </c>
      <c r="M132" t="s">
        <v>905</v>
      </c>
      <c r="P132" t="b">
        <v>0</v>
      </c>
      <c r="Q132" s="18" t="s">
        <v>597</v>
      </c>
    </row>
    <row r="133" spans="1:17" ht="16.5">
      <c r="A133" s="18" t="s">
        <v>1224</v>
      </c>
      <c r="B133" t="b">
        <v>1</v>
      </c>
      <c r="C133" t="s">
        <v>945</v>
      </c>
      <c r="D133" s="2" t="s">
        <v>1250</v>
      </c>
      <c r="E133">
        <v>0</v>
      </c>
      <c r="F133" t="s">
        <v>474</v>
      </c>
      <c r="G133" t="s">
        <v>364</v>
      </c>
      <c r="H133" t="s">
        <v>364</v>
      </c>
      <c r="I133" t="s">
        <v>364</v>
      </c>
      <c r="J133">
        <v>0</v>
      </c>
      <c r="M133" t="s">
        <v>905</v>
      </c>
      <c r="P133" t="b">
        <v>0</v>
      </c>
      <c r="Q133" s="18" t="s">
        <v>597</v>
      </c>
    </row>
    <row r="134" spans="1:17" ht="16.5">
      <c r="A134" s="18" t="s">
        <v>1225</v>
      </c>
      <c r="B134" t="b">
        <v>1</v>
      </c>
      <c r="C134" t="s">
        <v>945</v>
      </c>
      <c r="D134" s="2" t="s">
        <v>1251</v>
      </c>
      <c r="E134">
        <v>0</v>
      </c>
      <c r="F134" t="s">
        <v>474</v>
      </c>
      <c r="G134" t="s">
        <v>364</v>
      </c>
      <c r="H134" t="s">
        <v>364</v>
      </c>
      <c r="I134" t="s">
        <v>364</v>
      </c>
      <c r="J134">
        <v>0</v>
      </c>
      <c r="M134" t="s">
        <v>905</v>
      </c>
      <c r="P134" t="b">
        <v>0</v>
      </c>
      <c r="Q134" s="18" t="s">
        <v>597</v>
      </c>
    </row>
    <row r="135" spans="1:17" s="6" customFormat="1">
      <c r="A135" s="28" t="s">
        <v>1233</v>
      </c>
      <c r="B135" t="b">
        <v>1</v>
      </c>
      <c r="C135" t="s">
        <v>945</v>
      </c>
      <c r="D135" s="2" t="s">
        <v>1083</v>
      </c>
      <c r="E135">
        <v>0</v>
      </c>
      <c r="F135" s="2" t="s">
        <v>471</v>
      </c>
      <c r="G135" t="s">
        <v>473</v>
      </c>
      <c r="H135" t="s">
        <v>473</v>
      </c>
      <c r="I135" s="2" t="s">
        <v>494</v>
      </c>
      <c r="J135"/>
      <c r="K135"/>
      <c r="L135"/>
      <c r="M135"/>
      <c r="N135"/>
      <c r="O135"/>
      <c r="P135" t="b">
        <v>1</v>
      </c>
      <c r="Q135" s="20" t="s">
        <v>825</v>
      </c>
    </row>
    <row r="136" spans="1:17">
      <c r="A136" s="28" t="s">
        <v>1234</v>
      </c>
      <c r="B136" t="b">
        <v>1</v>
      </c>
      <c r="C136" t="s">
        <v>945</v>
      </c>
      <c r="D136" s="2" t="s">
        <v>1084</v>
      </c>
      <c r="E136">
        <v>0</v>
      </c>
      <c r="F136" s="2" t="s">
        <v>471</v>
      </c>
      <c r="G136" t="s">
        <v>473</v>
      </c>
      <c r="H136" t="s">
        <v>473</v>
      </c>
      <c r="I136" s="2" t="s">
        <v>494</v>
      </c>
      <c r="P136" t="b">
        <v>1</v>
      </c>
      <c r="Q136" s="20" t="s">
        <v>826</v>
      </c>
    </row>
    <row r="137" spans="1:17">
      <c r="A137" s="28" t="s">
        <v>1235</v>
      </c>
      <c r="B137" t="b">
        <v>1</v>
      </c>
      <c r="C137" t="s">
        <v>945</v>
      </c>
      <c r="D137" s="2" t="s">
        <v>1085</v>
      </c>
      <c r="E137">
        <v>0</v>
      </c>
      <c r="F137" t="s">
        <v>471</v>
      </c>
      <c r="G137" t="s">
        <v>499</v>
      </c>
      <c r="I137" s="2" t="s">
        <v>494</v>
      </c>
      <c r="P137" t="b">
        <v>1</v>
      </c>
      <c r="Q137" s="20"/>
    </row>
    <row r="138" spans="1:17">
      <c r="A138" s="28" t="s">
        <v>1235</v>
      </c>
      <c r="B138" t="b">
        <v>1</v>
      </c>
      <c r="C138" t="s">
        <v>945</v>
      </c>
      <c r="D138" s="2" t="s">
        <v>1208</v>
      </c>
      <c r="E138">
        <v>1</v>
      </c>
      <c r="F138" t="s">
        <v>730</v>
      </c>
      <c r="G138" t="s">
        <v>499</v>
      </c>
      <c r="H138" t="s">
        <v>731</v>
      </c>
      <c r="I138" t="s">
        <v>731</v>
      </c>
      <c r="N138" t="s">
        <v>905</v>
      </c>
      <c r="O138" t="b">
        <v>0</v>
      </c>
      <c r="P138" t="b">
        <v>1</v>
      </c>
      <c r="Q138" s="20" t="s">
        <v>650</v>
      </c>
    </row>
    <row r="139" spans="1:17">
      <c r="A139" s="28" t="s">
        <v>1236</v>
      </c>
      <c r="B139" t="b">
        <v>1</v>
      </c>
      <c r="C139" t="s">
        <v>945</v>
      </c>
      <c r="D139" s="2" t="s">
        <v>1086</v>
      </c>
      <c r="E139">
        <v>0</v>
      </c>
      <c r="F139" s="2" t="s">
        <v>471</v>
      </c>
      <c r="G139" t="s">
        <v>473</v>
      </c>
      <c r="H139" t="s">
        <v>473</v>
      </c>
      <c r="I139" s="2" t="s">
        <v>494</v>
      </c>
      <c r="P139" t="b">
        <v>1</v>
      </c>
      <c r="Q139" s="20" t="s">
        <v>827</v>
      </c>
    </row>
    <row r="140" spans="1:17">
      <c r="A140" s="28" t="s">
        <v>1237</v>
      </c>
      <c r="B140" t="b">
        <v>1</v>
      </c>
      <c r="C140" t="s">
        <v>945</v>
      </c>
      <c r="D140" s="2" t="s">
        <v>1087</v>
      </c>
      <c r="E140">
        <v>0</v>
      </c>
      <c r="F140" s="2" t="s">
        <v>471</v>
      </c>
      <c r="G140" t="s">
        <v>473</v>
      </c>
      <c r="H140" t="s">
        <v>473</v>
      </c>
      <c r="I140" s="2" t="s">
        <v>494</v>
      </c>
      <c r="P140" t="b">
        <v>1</v>
      </c>
      <c r="Q140" s="20" t="s">
        <v>659</v>
      </c>
    </row>
    <row r="141" spans="1:17">
      <c r="A141" s="28" t="s">
        <v>1238</v>
      </c>
      <c r="B141" t="b">
        <v>1</v>
      </c>
      <c r="C141" t="s">
        <v>945</v>
      </c>
      <c r="D141" s="2" t="s">
        <v>1088</v>
      </c>
      <c r="E141">
        <v>0</v>
      </c>
      <c r="F141" s="2" t="s">
        <v>471</v>
      </c>
      <c r="G141" t="s">
        <v>473</v>
      </c>
      <c r="H141" t="s">
        <v>473</v>
      </c>
      <c r="I141" s="2" t="s">
        <v>494</v>
      </c>
      <c r="P141" t="b">
        <v>1</v>
      </c>
      <c r="Q141" s="20" t="s">
        <v>660</v>
      </c>
    </row>
    <row r="142" spans="1:17">
      <c r="A142" s="28" t="s">
        <v>1239</v>
      </c>
      <c r="B142" t="b">
        <v>1</v>
      </c>
      <c r="C142" t="s">
        <v>945</v>
      </c>
      <c r="D142" s="2" t="s">
        <v>1089</v>
      </c>
      <c r="E142">
        <v>0</v>
      </c>
      <c r="F142" s="2" t="s">
        <v>471</v>
      </c>
      <c r="G142" t="s">
        <v>473</v>
      </c>
      <c r="H142" t="s">
        <v>473</v>
      </c>
      <c r="I142" s="2" t="s">
        <v>494</v>
      </c>
      <c r="P142" t="b">
        <v>1</v>
      </c>
      <c r="Q142" s="20" t="s">
        <v>661</v>
      </c>
    </row>
    <row r="143" spans="1:17">
      <c r="A143" s="28" t="s">
        <v>1240</v>
      </c>
      <c r="B143" t="b">
        <v>1</v>
      </c>
      <c r="C143" t="s">
        <v>945</v>
      </c>
      <c r="D143" s="2" t="s">
        <v>1090</v>
      </c>
      <c r="E143">
        <v>0</v>
      </c>
      <c r="F143" s="2" t="s">
        <v>471</v>
      </c>
      <c r="G143" t="s">
        <v>473</v>
      </c>
      <c r="H143" t="s">
        <v>473</v>
      </c>
      <c r="I143" s="2" t="s">
        <v>494</v>
      </c>
      <c r="P143" t="b">
        <v>1</v>
      </c>
      <c r="Q143" s="20" t="s">
        <v>618</v>
      </c>
    </row>
    <row r="144" spans="1:17" s="6" customFormat="1">
      <c r="A144" t="s">
        <v>962</v>
      </c>
      <c r="B144" t="b">
        <v>1</v>
      </c>
      <c r="C144" t="s">
        <v>945</v>
      </c>
      <c r="D144" s="2" t="s">
        <v>1206</v>
      </c>
      <c r="E144">
        <v>0</v>
      </c>
      <c r="F144" t="s">
        <v>471</v>
      </c>
      <c r="G144" t="s">
        <v>499</v>
      </c>
      <c r="H144" t="s">
        <v>499</v>
      </c>
      <c r="I144" s="2" t="s">
        <v>494</v>
      </c>
      <c r="J144"/>
      <c r="K144"/>
      <c r="L144"/>
      <c r="M144"/>
      <c r="N144"/>
      <c r="O144"/>
      <c r="P144" t="b">
        <v>0</v>
      </c>
      <c r="Q144" s="1"/>
    </row>
    <row r="145" spans="1:17">
      <c r="A145" t="s">
        <v>983</v>
      </c>
      <c r="B145" t="b">
        <v>1</v>
      </c>
      <c r="C145" t="s">
        <v>945</v>
      </c>
      <c r="D145" t="s">
        <v>804</v>
      </c>
      <c r="E145">
        <v>0</v>
      </c>
      <c r="F145" t="s">
        <v>804</v>
      </c>
      <c r="G145" t="s">
        <v>804</v>
      </c>
      <c r="H145" t="s">
        <v>804</v>
      </c>
      <c r="I145" t="s">
        <v>804</v>
      </c>
      <c r="M145" s="12"/>
      <c r="P145" t="b">
        <v>0</v>
      </c>
    </row>
    <row r="146" spans="1:17">
      <c r="A146" t="s">
        <v>984</v>
      </c>
      <c r="B146" t="b">
        <v>1</v>
      </c>
      <c r="C146" t="s">
        <v>945</v>
      </c>
      <c r="D146" s="2" t="s">
        <v>914</v>
      </c>
      <c r="E146">
        <v>0</v>
      </c>
      <c r="F146" s="2" t="s">
        <v>914</v>
      </c>
      <c r="G146" s="2" t="s">
        <v>914</v>
      </c>
      <c r="H146" s="2" t="s">
        <v>914</v>
      </c>
      <c r="I146" s="2" t="s">
        <v>914</v>
      </c>
      <c r="P146" t="b">
        <v>0</v>
      </c>
      <c r="Q146" s="12"/>
    </row>
    <row r="147" spans="1:17">
      <c r="A147" t="s">
        <v>417</v>
      </c>
      <c r="B147" t="b">
        <v>1</v>
      </c>
      <c r="C147" t="s">
        <v>417</v>
      </c>
      <c r="D147" s="2" t="s">
        <v>801</v>
      </c>
      <c r="E147">
        <v>0</v>
      </c>
      <c r="F147" t="s">
        <v>471</v>
      </c>
      <c r="G147" t="s">
        <v>499</v>
      </c>
      <c r="I147" s="2" t="s">
        <v>494</v>
      </c>
      <c r="P147" t="b">
        <v>0</v>
      </c>
      <c r="Q147" s="1"/>
    </row>
    <row r="148" spans="1:17">
      <c r="A148" t="s">
        <v>417</v>
      </c>
      <c r="B148" t="b">
        <v>1</v>
      </c>
      <c r="C148" t="s">
        <v>417</v>
      </c>
      <c r="D148" t="s">
        <v>803</v>
      </c>
      <c r="E148">
        <v>1</v>
      </c>
      <c r="F148" t="s">
        <v>730</v>
      </c>
      <c r="G148" t="s">
        <v>499</v>
      </c>
      <c r="H148" t="s">
        <v>731</v>
      </c>
      <c r="I148" t="s">
        <v>731</v>
      </c>
      <c r="N148" t="s">
        <v>510</v>
      </c>
      <c r="O148" t="b">
        <v>1</v>
      </c>
      <c r="P148" t="b">
        <v>0</v>
      </c>
      <c r="Q148" t="s">
        <v>417</v>
      </c>
    </row>
    <row r="149" spans="1:17">
      <c r="A149" t="s">
        <v>569</v>
      </c>
      <c r="B149" t="b">
        <v>1</v>
      </c>
      <c r="C149" t="s">
        <v>417</v>
      </c>
      <c r="D149" s="2" t="s">
        <v>1091</v>
      </c>
      <c r="E149">
        <v>0</v>
      </c>
      <c r="F149" s="2" t="s">
        <v>471</v>
      </c>
      <c r="G149" t="s">
        <v>473</v>
      </c>
      <c r="H149" t="s">
        <v>473</v>
      </c>
      <c r="I149" s="2" t="s">
        <v>494</v>
      </c>
      <c r="P149" t="b">
        <v>1</v>
      </c>
      <c r="Q149" s="1" t="s">
        <v>631</v>
      </c>
    </row>
    <row r="150" spans="1:17">
      <c r="A150" t="s">
        <v>571</v>
      </c>
      <c r="B150" t="b">
        <v>1</v>
      </c>
      <c r="C150" t="s">
        <v>417</v>
      </c>
      <c r="D150" s="2" t="s">
        <v>1092</v>
      </c>
      <c r="E150">
        <v>0</v>
      </c>
      <c r="F150" s="2" t="s">
        <v>471</v>
      </c>
      <c r="G150" t="s">
        <v>473</v>
      </c>
      <c r="H150" t="s">
        <v>473</v>
      </c>
      <c r="I150" s="2" t="s">
        <v>494</v>
      </c>
      <c r="P150" t="b">
        <v>1</v>
      </c>
      <c r="Q150" s="1" t="s">
        <v>631</v>
      </c>
    </row>
    <row r="151" spans="1:17">
      <c r="A151" t="s">
        <v>570</v>
      </c>
      <c r="B151" t="b">
        <v>1</v>
      </c>
      <c r="C151" t="s">
        <v>417</v>
      </c>
      <c r="D151" s="2" t="s">
        <v>1093</v>
      </c>
      <c r="E151">
        <v>0</v>
      </c>
      <c r="F151" s="2" t="s">
        <v>471</v>
      </c>
      <c r="G151" t="s">
        <v>473</v>
      </c>
      <c r="H151" t="s">
        <v>473</v>
      </c>
      <c r="I151" s="2" t="s">
        <v>494</v>
      </c>
      <c r="P151" t="b">
        <v>1</v>
      </c>
      <c r="Q151" s="1" t="s">
        <v>631</v>
      </c>
    </row>
    <row r="152" spans="1:17">
      <c r="A152" s="28" t="s">
        <v>563</v>
      </c>
      <c r="B152" t="b">
        <v>1</v>
      </c>
      <c r="C152" t="s">
        <v>417</v>
      </c>
      <c r="D152" s="2" t="s">
        <v>1094</v>
      </c>
      <c r="E152">
        <v>0</v>
      </c>
      <c r="F152" s="2" t="s">
        <v>471</v>
      </c>
      <c r="G152" t="s">
        <v>473</v>
      </c>
      <c r="H152" t="s">
        <v>473</v>
      </c>
      <c r="I152" s="2" t="s">
        <v>494</v>
      </c>
      <c r="K152" t="s">
        <v>918</v>
      </c>
      <c r="P152" t="b">
        <v>1</v>
      </c>
      <c r="Q152" s="1" t="s">
        <v>631</v>
      </c>
    </row>
    <row r="153" spans="1:17">
      <c r="A153" s="28" t="s">
        <v>564</v>
      </c>
      <c r="B153" t="b">
        <v>1</v>
      </c>
      <c r="C153" t="s">
        <v>417</v>
      </c>
      <c r="D153" s="2" t="s">
        <v>1095</v>
      </c>
      <c r="E153">
        <v>0</v>
      </c>
      <c r="F153" s="2" t="s">
        <v>471</v>
      </c>
      <c r="G153" t="s">
        <v>473</v>
      </c>
      <c r="H153" t="s">
        <v>473</v>
      </c>
      <c r="I153" s="2" t="s">
        <v>494</v>
      </c>
      <c r="K153" t="s">
        <v>918</v>
      </c>
      <c r="P153" t="b">
        <v>1</v>
      </c>
      <c r="Q153" s="1" t="s">
        <v>631</v>
      </c>
    </row>
    <row r="154" spans="1:17">
      <c r="A154" s="28" t="s">
        <v>567</v>
      </c>
      <c r="B154" t="b">
        <v>1</v>
      </c>
      <c r="C154" t="s">
        <v>417</v>
      </c>
      <c r="D154" s="2" t="s">
        <v>1096</v>
      </c>
      <c r="E154">
        <v>0</v>
      </c>
      <c r="F154" s="2" t="s">
        <v>471</v>
      </c>
      <c r="G154" t="s">
        <v>473</v>
      </c>
      <c r="H154" t="s">
        <v>473</v>
      </c>
      <c r="I154" s="2" t="s">
        <v>494</v>
      </c>
      <c r="K154" t="s">
        <v>918</v>
      </c>
      <c r="P154" t="b">
        <v>1</v>
      </c>
      <c r="Q154" s="1" t="s">
        <v>631</v>
      </c>
    </row>
    <row r="155" spans="1:17">
      <c r="A155" s="28" t="s">
        <v>565</v>
      </c>
      <c r="B155" t="b">
        <v>1</v>
      </c>
      <c r="C155" t="s">
        <v>417</v>
      </c>
      <c r="D155" s="2" t="s">
        <v>1097</v>
      </c>
      <c r="E155">
        <v>0</v>
      </c>
      <c r="F155" s="2" t="s">
        <v>471</v>
      </c>
      <c r="G155" t="s">
        <v>473</v>
      </c>
      <c r="H155" t="s">
        <v>473</v>
      </c>
      <c r="I155" s="2" t="s">
        <v>494</v>
      </c>
      <c r="K155" t="s">
        <v>918</v>
      </c>
      <c r="P155" t="b">
        <v>1</v>
      </c>
      <c r="Q155" s="1" t="s">
        <v>631</v>
      </c>
    </row>
    <row r="156" spans="1:17">
      <c r="A156" s="28" t="s">
        <v>566</v>
      </c>
      <c r="B156" t="b">
        <v>1</v>
      </c>
      <c r="C156" t="s">
        <v>417</v>
      </c>
      <c r="D156" s="2" t="s">
        <v>1098</v>
      </c>
      <c r="E156">
        <v>0</v>
      </c>
      <c r="F156" s="2" t="s">
        <v>471</v>
      </c>
      <c r="G156" t="s">
        <v>473</v>
      </c>
      <c r="H156" t="s">
        <v>473</v>
      </c>
      <c r="I156" s="2" t="s">
        <v>494</v>
      </c>
      <c r="K156" t="s">
        <v>918</v>
      </c>
      <c r="P156" t="b">
        <v>1</v>
      </c>
      <c r="Q156" s="1" t="s">
        <v>631</v>
      </c>
    </row>
    <row r="157" spans="1:17">
      <c r="A157" s="28" t="s">
        <v>568</v>
      </c>
      <c r="B157" t="b">
        <v>1</v>
      </c>
      <c r="C157" t="s">
        <v>417</v>
      </c>
      <c r="D157" s="2" t="s">
        <v>1099</v>
      </c>
      <c r="E157">
        <v>0</v>
      </c>
      <c r="F157" s="2" t="s">
        <v>471</v>
      </c>
      <c r="G157" t="s">
        <v>473</v>
      </c>
      <c r="H157" t="s">
        <v>473</v>
      </c>
      <c r="I157" s="2" t="s">
        <v>494</v>
      </c>
      <c r="K157" t="s">
        <v>918</v>
      </c>
      <c r="P157" t="b">
        <v>1</v>
      </c>
      <c r="Q157" s="1" t="s">
        <v>631</v>
      </c>
    </row>
    <row r="158" spans="1:17">
      <c r="A158" s="28" t="s">
        <v>573</v>
      </c>
      <c r="B158" t="b">
        <v>1</v>
      </c>
      <c r="C158" t="s">
        <v>417</v>
      </c>
      <c r="D158" s="2" t="s">
        <v>1100</v>
      </c>
      <c r="E158">
        <v>0</v>
      </c>
      <c r="F158" s="2" t="s">
        <v>471</v>
      </c>
      <c r="G158" t="s">
        <v>473</v>
      </c>
      <c r="H158" t="s">
        <v>473</v>
      </c>
      <c r="I158" s="2" t="s">
        <v>494</v>
      </c>
      <c r="P158" t="b">
        <v>1</v>
      </c>
      <c r="Q158" s="1" t="s">
        <v>631</v>
      </c>
    </row>
    <row r="159" spans="1:17">
      <c r="A159" s="28" t="s">
        <v>572</v>
      </c>
      <c r="B159" t="b">
        <v>1</v>
      </c>
      <c r="C159" t="s">
        <v>417</v>
      </c>
      <c r="D159" s="2" t="s">
        <v>1101</v>
      </c>
      <c r="E159">
        <v>0</v>
      </c>
      <c r="F159" s="2" t="s">
        <v>471</v>
      </c>
      <c r="G159" t="s">
        <v>473</v>
      </c>
      <c r="H159" t="s">
        <v>473</v>
      </c>
      <c r="I159" s="2" t="s">
        <v>494</v>
      </c>
      <c r="P159" t="b">
        <v>1</v>
      </c>
      <c r="Q159" s="1" t="s">
        <v>631</v>
      </c>
    </row>
    <row r="160" spans="1:17">
      <c r="A160" s="28" t="s">
        <v>574</v>
      </c>
      <c r="B160" t="b">
        <v>1</v>
      </c>
      <c r="C160" t="s">
        <v>417</v>
      </c>
      <c r="D160" s="2" t="s">
        <v>1103</v>
      </c>
      <c r="E160">
        <v>0</v>
      </c>
      <c r="F160" s="2" t="s">
        <v>471</v>
      </c>
      <c r="G160" t="s">
        <v>473</v>
      </c>
      <c r="H160" t="s">
        <v>473</v>
      </c>
      <c r="I160" s="2" t="s">
        <v>494</v>
      </c>
      <c r="P160" t="b">
        <v>1</v>
      </c>
      <c r="Q160" s="1" t="s">
        <v>631</v>
      </c>
    </row>
    <row r="161" spans="1:17">
      <c r="A161" s="28" t="s">
        <v>1289</v>
      </c>
      <c r="B161" t="b">
        <v>1</v>
      </c>
      <c r="C161" t="s">
        <v>417</v>
      </c>
      <c r="D161" s="2" t="s">
        <v>1102</v>
      </c>
      <c r="E161">
        <v>0</v>
      </c>
      <c r="F161" s="2" t="s">
        <v>471</v>
      </c>
      <c r="G161" t="s">
        <v>473</v>
      </c>
      <c r="H161" t="s">
        <v>473</v>
      </c>
      <c r="I161" s="2" t="s">
        <v>494</v>
      </c>
      <c r="P161" t="b">
        <v>1</v>
      </c>
      <c r="Q161" s="1" t="s">
        <v>631</v>
      </c>
    </row>
    <row r="162" spans="1:17">
      <c r="A162" s="28" t="s">
        <v>1290</v>
      </c>
      <c r="B162" t="b">
        <v>1</v>
      </c>
      <c r="C162" t="s">
        <v>417</v>
      </c>
      <c r="D162" s="2" t="s">
        <v>1104</v>
      </c>
      <c r="E162">
        <v>0</v>
      </c>
      <c r="F162" s="2" t="s">
        <v>471</v>
      </c>
      <c r="G162" t="s">
        <v>473</v>
      </c>
      <c r="H162" t="s">
        <v>473</v>
      </c>
      <c r="I162" s="2" t="s">
        <v>494</v>
      </c>
      <c r="P162" t="b">
        <v>1</v>
      </c>
      <c r="Q162" s="1" t="s">
        <v>631</v>
      </c>
    </row>
    <row r="163" spans="1:17">
      <c r="A163" s="28" t="s">
        <v>1291</v>
      </c>
      <c r="B163" t="b">
        <v>1</v>
      </c>
      <c r="C163" t="s">
        <v>417</v>
      </c>
      <c r="D163" s="2" t="s">
        <v>1105</v>
      </c>
      <c r="E163">
        <v>0</v>
      </c>
      <c r="F163" s="2" t="s">
        <v>471</v>
      </c>
      <c r="G163" t="s">
        <v>473</v>
      </c>
      <c r="H163" t="s">
        <v>473</v>
      </c>
      <c r="I163" s="2" t="s">
        <v>494</v>
      </c>
      <c r="P163" t="b">
        <v>1</v>
      </c>
      <c r="Q163" s="1" t="s">
        <v>631</v>
      </c>
    </row>
    <row r="164" spans="1:17">
      <c r="A164" t="s">
        <v>460</v>
      </c>
      <c r="B164" t="b">
        <v>1</v>
      </c>
      <c r="C164" t="s">
        <v>417</v>
      </c>
      <c r="D164" s="2" t="s">
        <v>1151</v>
      </c>
      <c r="E164">
        <v>0</v>
      </c>
      <c r="F164" t="s">
        <v>471</v>
      </c>
      <c r="G164" t="s">
        <v>499</v>
      </c>
      <c r="H164" t="s">
        <v>499</v>
      </c>
      <c r="I164" s="2" t="s">
        <v>494</v>
      </c>
      <c r="P164" t="b">
        <v>0</v>
      </c>
      <c r="Q164" s="1"/>
    </row>
    <row r="165" spans="1:17">
      <c r="A165" t="s">
        <v>1000</v>
      </c>
      <c r="B165" t="b">
        <v>1</v>
      </c>
      <c r="C165" t="s">
        <v>417</v>
      </c>
      <c r="D165" t="s">
        <v>804</v>
      </c>
      <c r="E165">
        <v>0</v>
      </c>
      <c r="F165" t="s">
        <v>804</v>
      </c>
      <c r="G165" t="s">
        <v>804</v>
      </c>
      <c r="H165" t="s">
        <v>804</v>
      </c>
      <c r="I165" t="s">
        <v>804</v>
      </c>
      <c r="P165" t="b">
        <v>0</v>
      </c>
      <c r="Q165" s="1"/>
    </row>
    <row r="166" spans="1:17">
      <c r="A166" t="s">
        <v>1001</v>
      </c>
      <c r="B166" t="b">
        <v>1</v>
      </c>
      <c r="C166" t="s">
        <v>1001</v>
      </c>
      <c r="D166" s="2" t="s">
        <v>801</v>
      </c>
      <c r="E166">
        <v>0</v>
      </c>
      <c r="F166" t="s">
        <v>471</v>
      </c>
      <c r="G166" t="s">
        <v>499</v>
      </c>
      <c r="I166" s="2" t="s">
        <v>494</v>
      </c>
      <c r="J166">
        <v>0</v>
      </c>
      <c r="P166" t="b">
        <v>0</v>
      </c>
      <c r="Q166" s="1"/>
    </row>
    <row r="167" spans="1:17">
      <c r="A167" t="s">
        <v>1001</v>
      </c>
      <c r="B167" t="b">
        <v>1</v>
      </c>
      <c r="C167" t="s">
        <v>1001</v>
      </c>
      <c r="D167" t="s">
        <v>803</v>
      </c>
      <c r="E167">
        <v>1</v>
      </c>
      <c r="F167" t="s">
        <v>730</v>
      </c>
      <c r="G167" t="s">
        <v>499</v>
      </c>
      <c r="H167" t="s">
        <v>731</v>
      </c>
      <c r="I167" t="s">
        <v>731</v>
      </c>
      <c r="N167" t="s">
        <v>510</v>
      </c>
      <c r="O167" t="b">
        <v>1</v>
      </c>
      <c r="P167" t="b">
        <v>0</v>
      </c>
      <c r="Q167" t="s">
        <v>1001</v>
      </c>
    </row>
    <row r="168" spans="1:17">
      <c r="A168" t="s">
        <v>830</v>
      </c>
      <c r="B168" t="b">
        <v>1</v>
      </c>
      <c r="C168" t="s">
        <v>1001</v>
      </c>
      <c r="D168" s="2" t="s">
        <v>1108</v>
      </c>
      <c r="E168">
        <v>0</v>
      </c>
      <c r="F168" s="2" t="s">
        <v>471</v>
      </c>
      <c r="G168" t="s">
        <v>473</v>
      </c>
      <c r="H168" t="s">
        <v>473</v>
      </c>
      <c r="I168" s="2" t="s">
        <v>494</v>
      </c>
      <c r="P168" t="b">
        <v>1</v>
      </c>
      <c r="Q168" s="1" t="s">
        <v>631</v>
      </c>
    </row>
    <row r="169" spans="1:17">
      <c r="A169" t="s">
        <v>831</v>
      </c>
      <c r="B169" t="b">
        <v>1</v>
      </c>
      <c r="C169" t="s">
        <v>1001</v>
      </c>
      <c r="D169" s="2" t="s">
        <v>1109</v>
      </c>
      <c r="E169">
        <v>0</v>
      </c>
      <c r="F169" s="2" t="s">
        <v>471</v>
      </c>
      <c r="G169" t="s">
        <v>473</v>
      </c>
      <c r="H169" t="s">
        <v>473</v>
      </c>
      <c r="I169" s="2" t="s">
        <v>494</v>
      </c>
      <c r="P169" t="b">
        <v>1</v>
      </c>
      <c r="Q169" s="1" t="s">
        <v>631</v>
      </c>
    </row>
    <row r="170" spans="1:17">
      <c r="A170" t="s">
        <v>832</v>
      </c>
      <c r="B170" t="b">
        <v>1</v>
      </c>
      <c r="C170" t="s">
        <v>1001</v>
      </c>
      <c r="D170" s="2" t="s">
        <v>1110</v>
      </c>
      <c r="E170">
        <v>0</v>
      </c>
      <c r="F170" s="2" t="s">
        <v>471</v>
      </c>
      <c r="G170" t="s">
        <v>473</v>
      </c>
      <c r="H170" t="s">
        <v>473</v>
      </c>
      <c r="I170" s="2" t="s">
        <v>494</v>
      </c>
      <c r="P170" t="b">
        <v>1</v>
      </c>
      <c r="Q170" s="1" t="s">
        <v>631</v>
      </c>
    </row>
    <row r="171" spans="1:17">
      <c r="A171" t="s">
        <v>828</v>
      </c>
      <c r="B171" t="b">
        <v>1</v>
      </c>
      <c r="C171" t="s">
        <v>1001</v>
      </c>
      <c r="D171" s="2" t="s">
        <v>1106</v>
      </c>
      <c r="E171">
        <v>0</v>
      </c>
      <c r="F171" s="2" t="s">
        <v>471</v>
      </c>
      <c r="G171" t="s">
        <v>473</v>
      </c>
      <c r="H171" t="s">
        <v>473</v>
      </c>
      <c r="I171" s="2" t="s">
        <v>494</v>
      </c>
      <c r="P171" t="b">
        <v>1</v>
      </c>
      <c r="Q171" s="1" t="s">
        <v>631</v>
      </c>
    </row>
    <row r="172" spans="1:17">
      <c r="A172" t="s">
        <v>829</v>
      </c>
      <c r="B172" t="b">
        <v>1</v>
      </c>
      <c r="C172" t="s">
        <v>1001</v>
      </c>
      <c r="D172" s="2" t="s">
        <v>1107</v>
      </c>
      <c r="E172">
        <v>0</v>
      </c>
      <c r="F172" s="2" t="s">
        <v>471</v>
      </c>
      <c r="G172" t="s">
        <v>473</v>
      </c>
      <c r="H172" t="s">
        <v>473</v>
      </c>
      <c r="I172" s="2" t="s">
        <v>494</v>
      </c>
      <c r="P172" t="b">
        <v>1</v>
      </c>
      <c r="Q172" s="1" t="s">
        <v>631</v>
      </c>
    </row>
    <row r="173" spans="1:17">
      <c r="A173" t="s">
        <v>1007</v>
      </c>
      <c r="B173" t="b">
        <v>1</v>
      </c>
      <c r="C173" t="s">
        <v>1001</v>
      </c>
      <c r="D173" s="2" t="s">
        <v>1151</v>
      </c>
      <c r="E173">
        <v>0</v>
      </c>
      <c r="F173" t="s">
        <v>471</v>
      </c>
      <c r="G173" t="s">
        <v>499</v>
      </c>
      <c r="H173" t="s">
        <v>499</v>
      </c>
      <c r="I173" s="2" t="s">
        <v>494</v>
      </c>
      <c r="P173" t="b">
        <v>0</v>
      </c>
      <c r="Q173" s="1"/>
    </row>
    <row r="174" spans="1:17">
      <c r="A174" t="s">
        <v>1055</v>
      </c>
      <c r="B174" t="b">
        <v>1</v>
      </c>
      <c r="C174" t="s">
        <v>1001</v>
      </c>
      <c r="D174" t="s">
        <v>804</v>
      </c>
      <c r="E174">
        <v>0</v>
      </c>
      <c r="F174" t="s">
        <v>804</v>
      </c>
      <c r="G174" t="s">
        <v>804</v>
      </c>
      <c r="H174" t="s">
        <v>804</v>
      </c>
      <c r="I174" t="s">
        <v>804</v>
      </c>
      <c r="P174" t="b">
        <v>0</v>
      </c>
      <c r="Q174" s="1"/>
    </row>
    <row r="175" spans="1:17">
      <c r="A175" t="s">
        <v>1008</v>
      </c>
      <c r="B175" t="b">
        <v>1</v>
      </c>
      <c r="C175" t="s">
        <v>1008</v>
      </c>
      <c r="D175" s="2" t="s">
        <v>801</v>
      </c>
      <c r="E175">
        <v>0</v>
      </c>
      <c r="F175" t="s">
        <v>471</v>
      </c>
      <c r="G175" t="s">
        <v>499</v>
      </c>
      <c r="I175" s="2" t="s">
        <v>494</v>
      </c>
      <c r="J175">
        <v>0</v>
      </c>
      <c r="P175" t="b">
        <v>0</v>
      </c>
      <c r="Q175" s="1"/>
    </row>
    <row r="176" spans="1:17">
      <c r="A176" t="s">
        <v>1008</v>
      </c>
      <c r="B176" t="b">
        <v>1</v>
      </c>
      <c r="C176" t="s">
        <v>1008</v>
      </c>
      <c r="D176" t="s">
        <v>803</v>
      </c>
      <c r="E176">
        <v>1</v>
      </c>
      <c r="F176" t="s">
        <v>730</v>
      </c>
      <c r="G176" t="s">
        <v>499</v>
      </c>
      <c r="H176" t="s">
        <v>731</v>
      </c>
      <c r="I176" t="s">
        <v>731</v>
      </c>
      <c r="N176" t="s">
        <v>510</v>
      </c>
      <c r="O176" t="b">
        <v>1</v>
      </c>
      <c r="P176" t="b">
        <v>0</v>
      </c>
      <c r="Q176" t="s">
        <v>1008</v>
      </c>
    </row>
    <row r="177" spans="1:17">
      <c r="A177" s="6" t="s">
        <v>562</v>
      </c>
      <c r="B177" s="6" t="b">
        <v>1</v>
      </c>
      <c r="C177" s="6" t="s">
        <v>1008</v>
      </c>
      <c r="D177" s="2" t="s">
        <v>1207</v>
      </c>
      <c r="E177" s="6">
        <v>0</v>
      </c>
      <c r="F177" s="6" t="s">
        <v>474</v>
      </c>
      <c r="G177" s="6" t="s">
        <v>364</v>
      </c>
      <c r="H177" s="6" t="s">
        <v>364</v>
      </c>
      <c r="I177" s="6" t="s">
        <v>364</v>
      </c>
      <c r="M177" t="s">
        <v>905</v>
      </c>
      <c r="P177" t="b">
        <v>1</v>
      </c>
      <c r="Q177" s="1" t="s">
        <v>597</v>
      </c>
    </row>
    <row r="178" spans="1:17">
      <c r="A178" t="s">
        <v>1010</v>
      </c>
      <c r="B178" t="b">
        <v>1</v>
      </c>
      <c r="C178" t="s">
        <v>1008</v>
      </c>
      <c r="D178" s="2" t="s">
        <v>1151</v>
      </c>
      <c r="E178">
        <v>0</v>
      </c>
      <c r="F178" t="s">
        <v>471</v>
      </c>
      <c r="G178" t="s">
        <v>499</v>
      </c>
      <c r="H178" t="s">
        <v>499</v>
      </c>
      <c r="I178" s="2" t="s">
        <v>494</v>
      </c>
      <c r="P178" t="b">
        <v>0</v>
      </c>
      <c r="Q178" s="1"/>
    </row>
    <row r="179" spans="1:17">
      <c r="A179" t="s">
        <v>1057</v>
      </c>
      <c r="B179" t="b">
        <v>1</v>
      </c>
      <c r="C179" t="s">
        <v>1008</v>
      </c>
      <c r="D179" t="s">
        <v>804</v>
      </c>
      <c r="E179">
        <v>0</v>
      </c>
      <c r="F179" t="s">
        <v>804</v>
      </c>
      <c r="G179" t="s">
        <v>804</v>
      </c>
      <c r="H179" t="s">
        <v>804</v>
      </c>
      <c r="I179" t="s">
        <v>804</v>
      </c>
      <c r="P179" t="b">
        <v>0</v>
      </c>
      <c r="Q179" s="1"/>
    </row>
    <row r="180" spans="1:17">
      <c r="A180" t="s">
        <v>1011</v>
      </c>
      <c r="B180" t="b">
        <v>1</v>
      </c>
      <c r="C180" t="s">
        <v>1011</v>
      </c>
      <c r="D180" s="2" t="s">
        <v>801</v>
      </c>
      <c r="E180">
        <v>0</v>
      </c>
      <c r="F180" t="s">
        <v>471</v>
      </c>
      <c r="G180" t="s">
        <v>499</v>
      </c>
      <c r="I180" s="2" t="s">
        <v>494</v>
      </c>
      <c r="J180">
        <v>0</v>
      </c>
      <c r="P180" t="b">
        <v>0</v>
      </c>
      <c r="Q180" s="1"/>
    </row>
    <row r="181" spans="1:17">
      <c r="A181" t="s">
        <v>1011</v>
      </c>
      <c r="B181" t="b">
        <v>1</v>
      </c>
      <c r="C181" t="s">
        <v>1011</v>
      </c>
      <c r="D181" t="s">
        <v>803</v>
      </c>
      <c r="E181">
        <v>1</v>
      </c>
      <c r="F181" t="s">
        <v>730</v>
      </c>
      <c r="G181" t="s">
        <v>499</v>
      </c>
      <c r="H181" t="s">
        <v>731</v>
      </c>
      <c r="I181" t="s">
        <v>731</v>
      </c>
      <c r="N181" t="s">
        <v>510</v>
      </c>
      <c r="O181" t="b">
        <v>1</v>
      </c>
      <c r="P181" t="b">
        <v>0</v>
      </c>
      <c r="Q181" t="s">
        <v>1011</v>
      </c>
    </row>
    <row r="182" spans="1:17">
      <c r="A182" t="s">
        <v>833</v>
      </c>
      <c r="B182" t="b">
        <v>1</v>
      </c>
      <c r="C182" t="s">
        <v>1011</v>
      </c>
      <c r="D182" s="2" t="s">
        <v>1111</v>
      </c>
      <c r="E182">
        <v>0</v>
      </c>
      <c r="F182" t="s">
        <v>471</v>
      </c>
      <c r="G182" t="s">
        <v>473</v>
      </c>
      <c r="H182" t="s">
        <v>473</v>
      </c>
      <c r="I182" s="2" t="s">
        <v>494</v>
      </c>
      <c r="P182" t="b">
        <v>1</v>
      </c>
      <c r="Q182" s="1" t="s">
        <v>631</v>
      </c>
    </row>
    <row r="183" spans="1:17">
      <c r="A183" t="s">
        <v>834</v>
      </c>
      <c r="B183" t="b">
        <v>1</v>
      </c>
      <c r="C183" t="s">
        <v>1011</v>
      </c>
      <c r="D183" s="2" t="s">
        <v>1112</v>
      </c>
      <c r="E183">
        <v>0</v>
      </c>
      <c r="F183" t="s">
        <v>471</v>
      </c>
      <c r="G183" t="s">
        <v>473</v>
      </c>
      <c r="H183" t="s">
        <v>473</v>
      </c>
      <c r="I183" s="2" t="s">
        <v>494</v>
      </c>
      <c r="P183" t="b">
        <v>1</v>
      </c>
      <c r="Q183" s="1" t="s">
        <v>631</v>
      </c>
    </row>
    <row r="184" spans="1:17">
      <c r="A184" t="s">
        <v>835</v>
      </c>
      <c r="B184" t="b">
        <v>1</v>
      </c>
      <c r="C184" t="s">
        <v>1011</v>
      </c>
      <c r="D184" s="2" t="s">
        <v>1113</v>
      </c>
      <c r="E184">
        <v>0</v>
      </c>
      <c r="F184" t="s">
        <v>471</v>
      </c>
      <c r="G184" t="s">
        <v>473</v>
      </c>
      <c r="H184" t="s">
        <v>473</v>
      </c>
      <c r="I184" s="2" t="s">
        <v>494</v>
      </c>
      <c r="P184" t="b">
        <v>1</v>
      </c>
      <c r="Q184" s="1" t="s">
        <v>631</v>
      </c>
    </row>
    <row r="185" spans="1:17">
      <c r="A185" t="s">
        <v>836</v>
      </c>
      <c r="B185" t="b">
        <v>1</v>
      </c>
      <c r="C185" t="s">
        <v>1011</v>
      </c>
      <c r="D185" s="2" t="s">
        <v>1114</v>
      </c>
      <c r="E185">
        <v>0</v>
      </c>
      <c r="F185" t="s">
        <v>471</v>
      </c>
      <c r="G185" t="s">
        <v>473</v>
      </c>
      <c r="H185" t="s">
        <v>473</v>
      </c>
      <c r="I185" s="2" t="s">
        <v>494</v>
      </c>
      <c r="P185" t="b">
        <v>1</v>
      </c>
      <c r="Q185" s="1" t="s">
        <v>631</v>
      </c>
    </row>
    <row r="186" spans="1:17">
      <c r="A186" t="s">
        <v>837</v>
      </c>
      <c r="B186" t="b">
        <v>1</v>
      </c>
      <c r="C186" t="s">
        <v>1011</v>
      </c>
      <c r="D186" s="2" t="s">
        <v>1115</v>
      </c>
      <c r="E186">
        <v>0</v>
      </c>
      <c r="F186" t="s">
        <v>471</v>
      </c>
      <c r="G186" t="s">
        <v>473</v>
      </c>
      <c r="H186" t="s">
        <v>473</v>
      </c>
      <c r="I186" s="2" t="s">
        <v>494</v>
      </c>
      <c r="P186" t="b">
        <v>1</v>
      </c>
      <c r="Q186" s="1" t="s">
        <v>631</v>
      </c>
    </row>
    <row r="187" spans="1:17">
      <c r="A187" t="s">
        <v>838</v>
      </c>
      <c r="B187" t="b">
        <v>1</v>
      </c>
      <c r="C187" t="s">
        <v>1011</v>
      </c>
      <c r="D187" s="2" t="s">
        <v>1116</v>
      </c>
      <c r="E187">
        <v>0</v>
      </c>
      <c r="F187" t="s">
        <v>471</v>
      </c>
      <c r="G187" t="s">
        <v>473</v>
      </c>
      <c r="H187" t="s">
        <v>473</v>
      </c>
      <c r="I187" s="2" t="s">
        <v>494</v>
      </c>
      <c r="P187" t="b">
        <v>1</v>
      </c>
      <c r="Q187" s="1" t="s">
        <v>631</v>
      </c>
    </row>
    <row r="188" spans="1:17">
      <c r="A188" t="s">
        <v>839</v>
      </c>
      <c r="B188" t="b">
        <v>1</v>
      </c>
      <c r="C188" t="s">
        <v>1011</v>
      </c>
      <c r="D188" s="2" t="s">
        <v>1117</v>
      </c>
      <c r="E188">
        <v>0</v>
      </c>
      <c r="F188" t="s">
        <v>471</v>
      </c>
      <c r="G188" t="s">
        <v>473</v>
      </c>
      <c r="H188" t="s">
        <v>473</v>
      </c>
      <c r="I188" s="2" t="s">
        <v>494</v>
      </c>
      <c r="P188" t="b">
        <v>1</v>
      </c>
      <c r="Q188" s="1" t="s">
        <v>631</v>
      </c>
    </row>
    <row r="189" spans="1:17">
      <c r="A189" t="s">
        <v>840</v>
      </c>
      <c r="B189" t="b">
        <v>1</v>
      </c>
      <c r="C189" t="s">
        <v>1011</v>
      </c>
      <c r="D189" s="2" t="s">
        <v>1118</v>
      </c>
      <c r="E189">
        <v>0</v>
      </c>
      <c r="F189" t="s">
        <v>471</v>
      </c>
      <c r="G189" t="s">
        <v>473</v>
      </c>
      <c r="H189" t="s">
        <v>473</v>
      </c>
      <c r="I189" s="2" t="s">
        <v>494</v>
      </c>
      <c r="P189" t="b">
        <v>1</v>
      </c>
      <c r="Q189" s="1" t="s">
        <v>631</v>
      </c>
    </row>
    <row r="190" spans="1:17">
      <c r="A190" t="s">
        <v>841</v>
      </c>
      <c r="B190" t="b">
        <v>1</v>
      </c>
      <c r="C190" t="s">
        <v>1011</v>
      </c>
      <c r="D190" s="2" t="s">
        <v>1119</v>
      </c>
      <c r="E190">
        <v>0</v>
      </c>
      <c r="F190" t="s">
        <v>471</v>
      </c>
      <c r="G190" t="s">
        <v>473</v>
      </c>
      <c r="H190" t="s">
        <v>473</v>
      </c>
      <c r="I190" s="2" t="s">
        <v>494</v>
      </c>
      <c r="P190" t="b">
        <v>1</v>
      </c>
      <c r="Q190" s="1" t="s">
        <v>631</v>
      </c>
    </row>
    <row r="191" spans="1:17">
      <c r="A191" t="s">
        <v>842</v>
      </c>
      <c r="B191" t="b">
        <v>1</v>
      </c>
      <c r="C191" t="s">
        <v>1011</v>
      </c>
      <c r="D191" s="2" t="s">
        <v>1120</v>
      </c>
      <c r="E191">
        <v>0</v>
      </c>
      <c r="F191" t="s">
        <v>471</v>
      </c>
      <c r="G191" t="s">
        <v>473</v>
      </c>
      <c r="H191" t="s">
        <v>473</v>
      </c>
      <c r="I191" s="2" t="s">
        <v>494</v>
      </c>
      <c r="P191" t="b">
        <v>1</v>
      </c>
      <c r="Q191" s="1" t="s">
        <v>631</v>
      </c>
    </row>
    <row r="192" spans="1:17">
      <c r="A192" t="s">
        <v>843</v>
      </c>
      <c r="B192" t="b">
        <v>1</v>
      </c>
      <c r="C192" t="s">
        <v>1011</v>
      </c>
      <c r="D192" s="2" t="s">
        <v>1121</v>
      </c>
      <c r="E192">
        <v>0</v>
      </c>
      <c r="F192" t="s">
        <v>471</v>
      </c>
      <c r="G192" t="s">
        <v>473</v>
      </c>
      <c r="H192" t="s">
        <v>473</v>
      </c>
      <c r="I192" s="2" t="s">
        <v>494</v>
      </c>
      <c r="P192" t="b">
        <v>1</v>
      </c>
      <c r="Q192" s="1" t="s">
        <v>631</v>
      </c>
    </row>
    <row r="193" spans="1:17">
      <c r="A193" t="s">
        <v>845</v>
      </c>
      <c r="B193" t="b">
        <v>1</v>
      </c>
      <c r="C193" t="s">
        <v>1011</v>
      </c>
      <c r="D193" s="2" t="s">
        <v>1122</v>
      </c>
      <c r="E193">
        <v>0</v>
      </c>
      <c r="F193" t="s">
        <v>471</v>
      </c>
      <c r="G193" t="s">
        <v>473</v>
      </c>
      <c r="H193" t="s">
        <v>473</v>
      </c>
      <c r="I193" s="2" t="s">
        <v>494</v>
      </c>
      <c r="P193" t="b">
        <v>1</v>
      </c>
      <c r="Q193" s="1" t="s">
        <v>631</v>
      </c>
    </row>
    <row r="194" spans="1:17">
      <c r="A194" t="s">
        <v>847</v>
      </c>
      <c r="B194" t="b">
        <v>1</v>
      </c>
      <c r="C194" t="s">
        <v>1011</v>
      </c>
      <c r="D194" s="2" t="s">
        <v>1123</v>
      </c>
      <c r="E194">
        <v>0</v>
      </c>
      <c r="F194" t="s">
        <v>471</v>
      </c>
      <c r="G194" t="s">
        <v>473</v>
      </c>
      <c r="H194" t="s">
        <v>473</v>
      </c>
      <c r="I194" s="2" t="s">
        <v>494</v>
      </c>
      <c r="P194" t="b">
        <v>1</v>
      </c>
      <c r="Q194" s="1" t="s">
        <v>631</v>
      </c>
    </row>
    <row r="195" spans="1:17">
      <c r="A195" t="s">
        <v>844</v>
      </c>
      <c r="B195" t="b">
        <v>1</v>
      </c>
      <c r="C195" t="s">
        <v>1011</v>
      </c>
      <c r="D195" s="2" t="s">
        <v>1124</v>
      </c>
      <c r="E195">
        <v>0</v>
      </c>
      <c r="F195" t="s">
        <v>471</v>
      </c>
      <c r="G195" t="s">
        <v>473</v>
      </c>
      <c r="H195" t="s">
        <v>473</v>
      </c>
      <c r="I195" s="2" t="s">
        <v>494</v>
      </c>
      <c r="P195" t="b">
        <v>1</v>
      </c>
      <c r="Q195" s="1" t="s">
        <v>631</v>
      </c>
    </row>
    <row r="196" spans="1:17">
      <c r="A196" t="s">
        <v>846</v>
      </c>
      <c r="B196" t="b">
        <v>1</v>
      </c>
      <c r="C196" t="s">
        <v>1011</v>
      </c>
      <c r="D196" s="2" t="s">
        <v>1125</v>
      </c>
      <c r="E196">
        <v>0</v>
      </c>
      <c r="F196" t="s">
        <v>471</v>
      </c>
      <c r="G196" t="s">
        <v>473</v>
      </c>
      <c r="H196" t="s">
        <v>473</v>
      </c>
      <c r="I196" s="2" t="s">
        <v>494</v>
      </c>
      <c r="P196" t="b">
        <v>1</v>
      </c>
      <c r="Q196" s="1" t="s">
        <v>631</v>
      </c>
    </row>
    <row r="197" spans="1:17">
      <c r="A197" t="s">
        <v>848</v>
      </c>
      <c r="B197" t="b">
        <v>1</v>
      </c>
      <c r="C197" t="s">
        <v>1011</v>
      </c>
      <c r="D197" s="2" t="s">
        <v>1415</v>
      </c>
      <c r="E197">
        <v>0</v>
      </c>
      <c r="F197" t="s">
        <v>471</v>
      </c>
      <c r="G197" t="s">
        <v>473</v>
      </c>
      <c r="H197" t="s">
        <v>473</v>
      </c>
      <c r="I197" s="2" t="s">
        <v>494</v>
      </c>
      <c r="P197" t="b">
        <v>1</v>
      </c>
      <c r="Q197" s="1" t="s">
        <v>631</v>
      </c>
    </row>
    <row r="198" spans="1:17">
      <c r="A198" t="s">
        <v>849</v>
      </c>
      <c r="B198" t="b">
        <v>1</v>
      </c>
      <c r="C198" t="s">
        <v>1011</v>
      </c>
      <c r="D198" s="2" t="s">
        <v>1126</v>
      </c>
      <c r="E198">
        <v>0</v>
      </c>
      <c r="F198" t="s">
        <v>471</v>
      </c>
      <c r="G198" t="s">
        <v>473</v>
      </c>
      <c r="H198" t="s">
        <v>473</v>
      </c>
      <c r="I198" s="2" t="s">
        <v>494</v>
      </c>
      <c r="P198" t="b">
        <v>1</v>
      </c>
      <c r="Q198" s="1" t="s">
        <v>631</v>
      </c>
    </row>
    <row r="199" spans="1:17">
      <c r="A199" t="s">
        <v>851</v>
      </c>
      <c r="B199" t="b">
        <v>1</v>
      </c>
      <c r="C199" t="s">
        <v>1011</v>
      </c>
      <c r="D199" s="2" t="s">
        <v>1127</v>
      </c>
      <c r="E199">
        <v>0</v>
      </c>
      <c r="F199" t="s">
        <v>471</v>
      </c>
      <c r="G199" t="s">
        <v>473</v>
      </c>
      <c r="H199" t="s">
        <v>473</v>
      </c>
      <c r="I199" s="2" t="s">
        <v>494</v>
      </c>
      <c r="P199" t="b">
        <v>1</v>
      </c>
      <c r="Q199" s="1" t="s">
        <v>631</v>
      </c>
    </row>
    <row r="200" spans="1:17">
      <c r="A200" t="s">
        <v>853</v>
      </c>
      <c r="B200" t="b">
        <v>1</v>
      </c>
      <c r="C200" t="s">
        <v>1011</v>
      </c>
      <c r="D200" s="2" t="s">
        <v>1128</v>
      </c>
      <c r="E200">
        <v>0</v>
      </c>
      <c r="F200" t="s">
        <v>471</v>
      </c>
      <c r="G200" t="s">
        <v>473</v>
      </c>
      <c r="H200" t="s">
        <v>473</v>
      </c>
      <c r="I200" s="2" t="s">
        <v>494</v>
      </c>
      <c r="P200" t="b">
        <v>1</v>
      </c>
      <c r="Q200" s="1" t="s">
        <v>631</v>
      </c>
    </row>
    <row r="201" spans="1:17">
      <c r="A201" t="s">
        <v>850</v>
      </c>
      <c r="B201" t="b">
        <v>1</v>
      </c>
      <c r="C201" t="s">
        <v>1011</v>
      </c>
      <c r="D201" s="2" t="s">
        <v>1129</v>
      </c>
      <c r="E201">
        <v>0</v>
      </c>
      <c r="F201" t="s">
        <v>471</v>
      </c>
      <c r="G201" t="s">
        <v>473</v>
      </c>
      <c r="H201" t="s">
        <v>473</v>
      </c>
      <c r="I201" s="2" t="s">
        <v>494</v>
      </c>
      <c r="P201" t="b">
        <v>1</v>
      </c>
      <c r="Q201" s="1" t="s">
        <v>631</v>
      </c>
    </row>
    <row r="202" spans="1:17">
      <c r="A202" t="s">
        <v>852</v>
      </c>
      <c r="B202" t="b">
        <v>1</v>
      </c>
      <c r="C202" t="s">
        <v>1011</v>
      </c>
      <c r="D202" s="2" t="s">
        <v>1130</v>
      </c>
      <c r="E202">
        <v>0</v>
      </c>
      <c r="F202" t="s">
        <v>471</v>
      </c>
      <c r="G202" t="s">
        <v>473</v>
      </c>
      <c r="H202" t="s">
        <v>473</v>
      </c>
      <c r="I202" s="2" t="s">
        <v>494</v>
      </c>
      <c r="P202" t="b">
        <v>1</v>
      </c>
      <c r="Q202" s="1" t="s">
        <v>631</v>
      </c>
    </row>
    <row r="203" spans="1:17">
      <c r="A203" t="s">
        <v>1012</v>
      </c>
      <c r="B203" t="b">
        <v>1</v>
      </c>
      <c r="C203" t="s">
        <v>1011</v>
      </c>
      <c r="D203" s="2" t="s">
        <v>1151</v>
      </c>
      <c r="E203">
        <v>0</v>
      </c>
      <c r="F203" t="s">
        <v>471</v>
      </c>
      <c r="G203" t="s">
        <v>499</v>
      </c>
      <c r="H203" t="s">
        <v>499</v>
      </c>
      <c r="I203" s="2" t="s">
        <v>494</v>
      </c>
      <c r="Q203" s="1"/>
    </row>
    <row r="204" spans="1:17">
      <c r="A204" t="s">
        <v>1056</v>
      </c>
      <c r="B204" t="b">
        <v>1</v>
      </c>
      <c r="C204" t="s">
        <v>1011</v>
      </c>
      <c r="D204" t="s">
        <v>804</v>
      </c>
      <c r="E204">
        <v>0</v>
      </c>
      <c r="F204" t="s">
        <v>804</v>
      </c>
      <c r="G204" t="s">
        <v>804</v>
      </c>
      <c r="H204" t="s">
        <v>804</v>
      </c>
      <c r="I204" t="s">
        <v>804</v>
      </c>
      <c r="Q204" s="1"/>
    </row>
  </sheetData>
  <autoFilter ref="A1:S204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B75"/>
  <sheetViews>
    <sheetView workbookViewId="0">
      <selection activeCell="D25" sqref="D25"/>
    </sheetView>
  </sheetViews>
  <sheetFormatPr defaultRowHeight="15"/>
  <cols>
    <col min="1" max="1" width="53" customWidth="1"/>
  </cols>
  <sheetData>
    <row r="1" spans="1:2">
      <c r="A1" t="s">
        <v>662</v>
      </c>
      <c r="B1" t="s">
        <v>663</v>
      </c>
    </row>
    <row r="2" spans="1:2">
      <c r="A2" t="s">
        <v>618</v>
      </c>
      <c r="B2">
        <v>1</v>
      </c>
    </row>
    <row r="3" spans="1:2">
      <c r="A3" t="s">
        <v>597</v>
      </c>
      <c r="B3">
        <v>2</v>
      </c>
    </row>
    <row r="4" spans="1:2">
      <c r="A4" t="s">
        <v>365</v>
      </c>
      <c r="B4">
        <v>1</v>
      </c>
    </row>
    <row r="5" spans="1:2">
      <c r="A5" t="s">
        <v>674</v>
      </c>
      <c r="B5">
        <v>2</v>
      </c>
    </row>
    <row r="6" spans="1:2">
      <c r="A6" t="s">
        <v>675</v>
      </c>
      <c r="B6">
        <v>3</v>
      </c>
    </row>
    <row r="7" spans="1:2">
      <c r="A7" t="s">
        <v>676</v>
      </c>
      <c r="B7">
        <v>4</v>
      </c>
    </row>
    <row r="8" spans="1:2">
      <c r="A8" t="s">
        <v>677</v>
      </c>
      <c r="B8">
        <v>5</v>
      </c>
    </row>
    <row r="9" spans="1:2">
      <c r="A9" t="s">
        <v>678</v>
      </c>
      <c r="B9">
        <v>6</v>
      </c>
    </row>
    <row r="10" spans="1:2">
      <c r="A10" t="s">
        <v>621</v>
      </c>
      <c r="B10">
        <v>1</v>
      </c>
    </row>
    <row r="11" spans="1:2">
      <c r="A11" t="s">
        <v>679</v>
      </c>
      <c r="B11">
        <v>2</v>
      </c>
    </row>
    <row r="12" spans="1:2">
      <c r="A12" t="s">
        <v>680</v>
      </c>
      <c r="B12">
        <v>1</v>
      </c>
    </row>
    <row r="13" spans="1:2">
      <c r="A13" t="s">
        <v>681</v>
      </c>
      <c r="B13">
        <v>2</v>
      </c>
    </row>
    <row r="14" spans="1:2">
      <c r="A14" t="s">
        <v>682</v>
      </c>
      <c r="B14">
        <v>3</v>
      </c>
    </row>
    <row r="15" spans="1:2">
      <c r="A15" t="s">
        <v>630</v>
      </c>
      <c r="B15">
        <v>4</v>
      </c>
    </row>
    <row r="16" spans="1:2">
      <c r="A16" t="s">
        <v>655</v>
      </c>
      <c r="B16">
        <v>2</v>
      </c>
    </row>
    <row r="17" spans="1:2">
      <c r="A17" t="s">
        <v>656</v>
      </c>
      <c r="B17" s="2" t="s">
        <v>684</v>
      </c>
    </row>
    <row r="18" spans="1:2">
      <c r="A18" t="s">
        <v>201</v>
      </c>
      <c r="B18">
        <v>156</v>
      </c>
    </row>
    <row r="19" spans="1:2">
      <c r="A19" t="s">
        <v>650</v>
      </c>
      <c r="B19">
        <v>840</v>
      </c>
    </row>
    <row r="20" spans="1:2">
      <c r="A20" t="s">
        <v>653</v>
      </c>
      <c r="B20">
        <v>2017001</v>
      </c>
    </row>
    <row r="21" spans="1:2">
      <c r="A21" t="s">
        <v>603</v>
      </c>
      <c r="B21">
        <v>1</v>
      </c>
    </row>
    <row r="22" spans="1:2" ht="16.5">
      <c r="A22" s="18" t="s">
        <v>877</v>
      </c>
      <c r="B22">
        <v>1</v>
      </c>
    </row>
    <row r="23" spans="1:2" ht="16.5">
      <c r="A23" s="18" t="s">
        <v>878</v>
      </c>
      <c r="B23">
        <v>1</v>
      </c>
    </row>
    <row r="24" spans="1:2" ht="16.5">
      <c r="A24" s="18" t="s">
        <v>879</v>
      </c>
      <c r="B24">
        <v>1</v>
      </c>
    </row>
    <row r="25" spans="1:2">
      <c r="A25" t="s">
        <v>880</v>
      </c>
      <c r="B25">
        <v>0</v>
      </c>
    </row>
    <row r="26" spans="1:2">
      <c r="A26" t="s">
        <v>881</v>
      </c>
      <c r="B26">
        <v>0</v>
      </c>
    </row>
    <row r="27" spans="1:2">
      <c r="A27" t="s">
        <v>882</v>
      </c>
      <c r="B27">
        <v>0</v>
      </c>
    </row>
    <row r="28" spans="1:2">
      <c r="A28" t="s">
        <v>883</v>
      </c>
      <c r="B28">
        <v>0</v>
      </c>
    </row>
    <row r="29" spans="1:2">
      <c r="A29" t="s">
        <v>884</v>
      </c>
      <c r="B29">
        <v>0</v>
      </c>
    </row>
    <row r="30" spans="1:2">
      <c r="A30" t="s">
        <v>885</v>
      </c>
      <c r="B30">
        <v>0</v>
      </c>
    </row>
    <row r="31" spans="1:2">
      <c r="A31" t="s">
        <v>886</v>
      </c>
      <c r="B31">
        <v>0</v>
      </c>
    </row>
    <row r="32" spans="1:2">
      <c r="A32" t="s">
        <v>887</v>
      </c>
      <c r="B32">
        <v>0</v>
      </c>
    </row>
    <row r="33" spans="1:2">
      <c r="A33" t="s">
        <v>888</v>
      </c>
      <c r="B33">
        <v>1</v>
      </c>
    </row>
    <row r="34" spans="1:2">
      <c r="A34" t="s">
        <v>889</v>
      </c>
      <c r="B34">
        <v>1</v>
      </c>
    </row>
    <row r="35" spans="1:2">
      <c r="A35" t="s">
        <v>890</v>
      </c>
      <c r="B35">
        <v>1</v>
      </c>
    </row>
    <row r="36" spans="1:2" ht="16.5">
      <c r="A36" s="18" t="s">
        <v>891</v>
      </c>
      <c r="B36">
        <v>2</v>
      </c>
    </row>
    <row r="37" spans="1:2" ht="16.5">
      <c r="A37" s="18" t="s">
        <v>892</v>
      </c>
      <c r="B37">
        <v>2</v>
      </c>
    </row>
    <row r="38" spans="1:2" ht="16.5">
      <c r="A38" s="18" t="s">
        <v>893</v>
      </c>
      <c r="B38">
        <v>2</v>
      </c>
    </row>
    <row r="39" spans="1:2">
      <c r="A39" t="s">
        <v>894</v>
      </c>
      <c r="B39">
        <v>0</v>
      </c>
    </row>
    <row r="40" spans="1:2">
      <c r="A40" t="s">
        <v>895</v>
      </c>
      <c r="B40">
        <v>0</v>
      </c>
    </row>
    <row r="41" spans="1:2">
      <c r="A41" t="s">
        <v>896</v>
      </c>
      <c r="B41">
        <v>0</v>
      </c>
    </row>
    <row r="42" spans="1:2">
      <c r="A42" t="s">
        <v>897</v>
      </c>
      <c r="B42">
        <v>0</v>
      </c>
    </row>
    <row r="43" spans="1:2">
      <c r="A43" t="s">
        <v>898</v>
      </c>
      <c r="B43">
        <v>0</v>
      </c>
    </row>
    <row r="44" spans="1:2">
      <c r="A44" t="s">
        <v>899</v>
      </c>
      <c r="B44">
        <v>0</v>
      </c>
    </row>
    <row r="45" spans="1:2">
      <c r="A45" t="s">
        <v>900</v>
      </c>
      <c r="B45">
        <v>0</v>
      </c>
    </row>
    <row r="46" spans="1:2">
      <c r="A46" t="s">
        <v>901</v>
      </c>
      <c r="B46">
        <v>0</v>
      </c>
    </row>
    <row r="47" spans="1:2">
      <c r="A47" t="s">
        <v>902</v>
      </c>
      <c r="B47">
        <v>2</v>
      </c>
    </row>
    <row r="48" spans="1:2">
      <c r="A48" t="s">
        <v>903</v>
      </c>
      <c r="B48">
        <v>2</v>
      </c>
    </row>
    <row r="49" spans="1:2">
      <c r="A49" t="s">
        <v>904</v>
      </c>
      <c r="B49">
        <v>2</v>
      </c>
    </row>
    <row r="50" spans="1:2">
      <c r="A50" t="s">
        <v>1325</v>
      </c>
      <c r="B50">
        <v>1</v>
      </c>
    </row>
    <row r="51" spans="1:2">
      <c r="A51" t="s">
        <v>1326</v>
      </c>
      <c r="B51">
        <v>1</v>
      </c>
    </row>
    <row r="52" spans="1:2" ht="16.5">
      <c r="A52" s="18" t="s">
        <v>925</v>
      </c>
      <c r="B52">
        <v>2</v>
      </c>
    </row>
    <row r="53" spans="1:2" ht="16.5">
      <c r="A53" s="18" t="s">
        <v>926</v>
      </c>
      <c r="B53">
        <v>2</v>
      </c>
    </row>
    <row r="54" spans="1:2" ht="16.5">
      <c r="A54" s="18" t="s">
        <v>927</v>
      </c>
      <c r="B54">
        <v>2</v>
      </c>
    </row>
    <row r="55" spans="1:2" ht="16.5">
      <c r="A55" s="18" t="s">
        <v>928</v>
      </c>
      <c r="B55">
        <v>2</v>
      </c>
    </row>
    <row r="56" spans="1:2">
      <c r="A56" t="s">
        <v>967</v>
      </c>
      <c r="B56">
        <v>1</v>
      </c>
    </row>
    <row r="57" spans="1:2">
      <c r="A57" t="s">
        <v>968</v>
      </c>
      <c r="B57">
        <v>2</v>
      </c>
    </row>
    <row r="58" spans="1:2">
      <c r="A58" t="s">
        <v>969</v>
      </c>
      <c r="B58" t="s">
        <v>653</v>
      </c>
    </row>
    <row r="59" spans="1:2">
      <c r="A59" t="s">
        <v>972</v>
      </c>
      <c r="B59">
        <v>1</v>
      </c>
    </row>
    <row r="60" spans="1:2">
      <c r="A60" t="s">
        <v>972</v>
      </c>
      <c r="B60">
        <v>0</v>
      </c>
    </row>
    <row r="61" spans="1:2">
      <c r="A61" t="s">
        <v>976</v>
      </c>
      <c r="B61">
        <v>0</v>
      </c>
    </row>
    <row r="62" spans="1:2">
      <c r="A62" t="s">
        <v>977</v>
      </c>
      <c r="B62">
        <v>0</v>
      </c>
    </row>
    <row r="63" spans="1:2">
      <c r="A63" t="s">
        <v>978</v>
      </c>
      <c r="B63">
        <v>0</v>
      </c>
    </row>
    <row r="64" spans="1:2">
      <c r="A64" t="s">
        <v>981</v>
      </c>
      <c r="B64">
        <v>0</v>
      </c>
    </row>
    <row r="65" spans="1:2">
      <c r="A65" t="s">
        <v>980</v>
      </c>
      <c r="B65">
        <v>0</v>
      </c>
    </row>
    <row r="66" spans="1:2">
      <c r="A66" t="s">
        <v>979</v>
      </c>
      <c r="B66">
        <v>0</v>
      </c>
    </row>
    <row r="67" spans="1:2">
      <c r="A67" t="s">
        <v>982</v>
      </c>
      <c r="B67">
        <v>5</v>
      </c>
    </row>
    <row r="68" spans="1:2">
      <c r="A68" t="s">
        <v>1037</v>
      </c>
      <c r="B68">
        <v>0</v>
      </c>
    </row>
    <row r="69" spans="1:2">
      <c r="A69" t="s">
        <v>1038</v>
      </c>
      <c r="B69">
        <v>0</v>
      </c>
    </row>
    <row r="70" spans="1:2">
      <c r="A70" t="s">
        <v>1053</v>
      </c>
      <c r="B70" t="s">
        <v>1054</v>
      </c>
    </row>
    <row r="71" spans="1:2">
      <c r="A71" t="s">
        <v>1063</v>
      </c>
      <c r="B71" t="s">
        <v>1062</v>
      </c>
    </row>
    <row r="72" spans="1:2">
      <c r="A72" t="s">
        <v>1241</v>
      </c>
      <c r="B72">
        <v>2</v>
      </c>
    </row>
    <row r="73" spans="1:2">
      <c r="A73" t="s">
        <v>1242</v>
      </c>
      <c r="B73">
        <v>0</v>
      </c>
    </row>
    <row r="74" spans="1:2" ht="16.5">
      <c r="A74" s="18" t="s">
        <v>1243</v>
      </c>
      <c r="B74">
        <v>0</v>
      </c>
    </row>
    <row r="75" spans="1:2" ht="16.5">
      <c r="A75" s="18" t="s">
        <v>1244</v>
      </c>
      <c r="B75">
        <v>0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S226"/>
  <sheetViews>
    <sheetView workbookViewId="0">
      <pane ySplit="1" topLeftCell="A38" activePane="bottomLeft" state="frozen"/>
      <selection activeCell="A54" sqref="A54"/>
      <selection pane="bottomLeft" activeCell="A57" sqref="A57"/>
    </sheetView>
  </sheetViews>
  <sheetFormatPr defaultRowHeight="15"/>
  <cols>
    <col min="1" max="1" width="56.42578125" bestFit="1" customWidth="1"/>
    <col min="2" max="2" width="8.5703125" customWidth="1"/>
    <col min="3" max="3" width="21" customWidth="1"/>
    <col min="4" max="4" width="16.5703125" customWidth="1"/>
    <col min="5" max="5" width="17.42578125" customWidth="1"/>
    <col min="6" max="6" width="11.7109375" customWidth="1"/>
    <col min="7" max="7" width="9.140625" customWidth="1"/>
    <col min="8" max="8" width="17.7109375" customWidth="1"/>
    <col min="9" max="9" width="16.42578125" customWidth="1"/>
    <col min="10" max="10" width="8.42578125" customWidth="1"/>
    <col min="11" max="11" width="15.42578125" customWidth="1"/>
    <col min="12" max="16" width="16.5703125" customWidth="1"/>
    <col min="17" max="17" width="16.5703125" style="12" customWidth="1"/>
  </cols>
  <sheetData>
    <row r="1" spans="1:19" ht="24" customHeight="1">
      <c r="A1" t="s">
        <v>491</v>
      </c>
      <c r="B1" t="s">
        <v>498</v>
      </c>
      <c r="C1" t="s">
        <v>478</v>
      </c>
      <c r="D1" t="s">
        <v>477</v>
      </c>
      <c r="E1" t="s">
        <v>479</v>
      </c>
      <c r="F1" t="s">
        <v>492</v>
      </c>
      <c r="G1" t="s">
        <v>496</v>
      </c>
      <c r="H1" t="s">
        <v>472</v>
      </c>
      <c r="I1" t="s">
        <v>493</v>
      </c>
      <c r="J1" t="s">
        <v>487</v>
      </c>
      <c r="K1" t="s">
        <v>917</v>
      </c>
      <c r="L1" t="s">
        <v>511</v>
      </c>
      <c r="M1" t="s">
        <v>870</v>
      </c>
      <c r="N1" t="s">
        <v>854</v>
      </c>
      <c r="O1" t="s">
        <v>855</v>
      </c>
      <c r="P1" t="s">
        <v>1209</v>
      </c>
      <c r="Q1" s="12" t="s">
        <v>542</v>
      </c>
      <c r="R1" t="s">
        <v>357</v>
      </c>
      <c r="S1" t="s">
        <v>500</v>
      </c>
    </row>
    <row r="2" spans="1:19">
      <c r="A2" s="2" t="s">
        <v>462</v>
      </c>
      <c r="B2" s="31" t="b">
        <v>0</v>
      </c>
      <c r="C2" s="6" t="s">
        <v>671</v>
      </c>
      <c r="D2" s="2" t="s">
        <v>461</v>
      </c>
      <c r="E2">
        <v>0</v>
      </c>
      <c r="F2" s="2" t="s">
        <v>471</v>
      </c>
      <c r="G2" s="2" t="s">
        <v>473</v>
      </c>
      <c r="H2" s="2" t="s">
        <v>473</v>
      </c>
      <c r="I2" s="2" t="s">
        <v>494</v>
      </c>
      <c r="J2" s="2"/>
      <c r="K2" s="2"/>
      <c r="L2" s="2"/>
      <c r="M2" s="2"/>
      <c r="N2" s="2"/>
      <c r="O2" s="2"/>
      <c r="P2" s="34" t="b">
        <v>0</v>
      </c>
      <c r="Q2" s="13" t="s">
        <v>592</v>
      </c>
      <c r="S2" s="2" t="s">
        <v>473</v>
      </c>
    </row>
    <row r="3" spans="1:19">
      <c r="A3" t="s">
        <v>464</v>
      </c>
      <c r="B3" s="31" t="b">
        <v>0</v>
      </c>
      <c r="C3" s="6" t="s">
        <v>671</v>
      </c>
      <c r="D3" s="2" t="s">
        <v>463</v>
      </c>
      <c r="E3">
        <v>0</v>
      </c>
      <c r="F3" s="2" t="s">
        <v>471</v>
      </c>
      <c r="G3" s="2" t="s">
        <v>499</v>
      </c>
      <c r="H3" s="2" t="s">
        <v>473</v>
      </c>
      <c r="I3" s="2" t="s">
        <v>494</v>
      </c>
      <c r="J3" s="2"/>
      <c r="K3" s="2"/>
      <c r="L3" s="2"/>
      <c r="M3" s="2"/>
      <c r="N3" s="2"/>
      <c r="O3" s="2"/>
      <c r="P3" s="34" t="b">
        <v>0</v>
      </c>
      <c r="Q3" s="13"/>
      <c r="S3" s="2" t="s">
        <v>499</v>
      </c>
    </row>
    <row r="4" spans="1:19">
      <c r="A4" t="s">
        <v>468</v>
      </c>
      <c r="B4" s="31" t="b">
        <v>0</v>
      </c>
      <c r="C4" s="6" t="s">
        <v>671</v>
      </c>
      <c r="D4" s="2" t="s">
        <v>467</v>
      </c>
      <c r="E4">
        <v>0</v>
      </c>
      <c r="F4" s="2" t="s">
        <v>471</v>
      </c>
      <c r="G4" s="2" t="s">
        <v>499</v>
      </c>
      <c r="H4" s="2" t="s">
        <v>473</v>
      </c>
      <c r="I4" s="2" t="s">
        <v>494</v>
      </c>
      <c r="J4" s="2"/>
      <c r="K4" s="2"/>
      <c r="L4" s="2"/>
      <c r="M4" s="2"/>
      <c r="N4" s="2"/>
      <c r="O4" s="2"/>
      <c r="P4" s="34" t="b">
        <v>0</v>
      </c>
      <c r="Q4" s="13"/>
      <c r="S4" s="2" t="s">
        <v>499</v>
      </c>
    </row>
    <row r="5" spans="1:19">
      <c r="A5" t="s">
        <v>466</v>
      </c>
      <c r="B5" s="31" t="b">
        <v>0</v>
      </c>
      <c r="C5" s="6" t="s">
        <v>672</v>
      </c>
      <c r="D5" s="2" t="s">
        <v>465</v>
      </c>
      <c r="E5">
        <v>0</v>
      </c>
      <c r="F5" s="2" t="s">
        <v>471</v>
      </c>
      <c r="G5" s="2" t="s">
        <v>473</v>
      </c>
      <c r="H5" s="2" t="s">
        <v>473</v>
      </c>
      <c r="I5" s="2" t="s">
        <v>494</v>
      </c>
      <c r="J5" s="2"/>
      <c r="K5" s="2"/>
      <c r="L5" s="2"/>
      <c r="M5" s="2"/>
      <c r="N5" s="2"/>
      <c r="O5" s="2"/>
      <c r="P5" s="34" t="b">
        <v>0</v>
      </c>
      <c r="Q5" s="13"/>
      <c r="S5" s="2" t="s">
        <v>473</v>
      </c>
    </row>
    <row r="6" spans="1:19">
      <c r="A6" t="s">
        <v>470</v>
      </c>
      <c r="B6" s="31" t="b">
        <v>0</v>
      </c>
      <c r="C6" s="6" t="s">
        <v>673</v>
      </c>
      <c r="D6" s="2" t="s">
        <v>469</v>
      </c>
      <c r="E6">
        <v>0</v>
      </c>
      <c r="F6" s="2" t="s">
        <v>471</v>
      </c>
      <c r="G6" s="2" t="s">
        <v>499</v>
      </c>
      <c r="H6" s="2" t="s">
        <v>473</v>
      </c>
      <c r="I6" s="2" t="s">
        <v>494</v>
      </c>
      <c r="J6" s="2"/>
      <c r="K6" s="2"/>
      <c r="L6" s="2">
        <v>2</v>
      </c>
      <c r="M6" s="2"/>
      <c r="N6" s="2"/>
      <c r="O6" s="2"/>
      <c r="P6" s="34" t="b">
        <v>0</v>
      </c>
      <c r="Q6" s="13"/>
      <c r="S6" s="2" t="s">
        <v>499</v>
      </c>
    </row>
    <row r="7" spans="1:19">
      <c r="A7" s="2" t="s">
        <v>517</v>
      </c>
      <c r="B7" s="31" t="b">
        <v>0</v>
      </c>
      <c r="C7" s="6" t="s">
        <v>673</v>
      </c>
      <c r="D7" s="2" t="s">
        <v>516</v>
      </c>
      <c r="E7">
        <v>0</v>
      </c>
      <c r="F7" s="2" t="s">
        <v>471</v>
      </c>
      <c r="G7" s="2" t="s">
        <v>518</v>
      </c>
      <c r="H7" s="2" t="s">
        <v>518</v>
      </c>
      <c r="I7" s="2" t="s">
        <v>494</v>
      </c>
      <c r="J7" s="2"/>
      <c r="K7" s="2"/>
      <c r="L7" s="2">
        <v>5</v>
      </c>
      <c r="M7" s="2"/>
      <c r="N7" s="2"/>
      <c r="O7" s="2"/>
      <c r="P7" s="34" t="b">
        <v>0</v>
      </c>
      <c r="Q7" s="13"/>
      <c r="S7" s="2"/>
    </row>
    <row r="8" spans="1:19">
      <c r="A8" t="s">
        <v>481</v>
      </c>
      <c r="B8" s="31" t="b">
        <v>0</v>
      </c>
      <c r="C8" s="6" t="s">
        <v>480</v>
      </c>
      <c r="D8" s="2" t="s">
        <v>482</v>
      </c>
      <c r="E8">
        <v>0</v>
      </c>
      <c r="F8" s="2" t="s">
        <v>472</v>
      </c>
      <c r="G8" s="2" t="s">
        <v>499</v>
      </c>
      <c r="H8" s="2"/>
      <c r="I8" s="2" t="s">
        <v>495</v>
      </c>
      <c r="J8" s="2">
        <v>0</v>
      </c>
      <c r="K8" s="2"/>
      <c r="L8" s="2">
        <v>10</v>
      </c>
      <c r="M8" s="2"/>
      <c r="N8" s="2"/>
      <c r="O8" s="2"/>
      <c r="P8" s="34" t="b">
        <v>0</v>
      </c>
      <c r="Q8" s="13"/>
      <c r="S8" s="2"/>
    </row>
    <row r="9" spans="1:19">
      <c r="A9" t="s">
        <v>481</v>
      </c>
      <c r="B9" s="31" t="b">
        <v>0</v>
      </c>
      <c r="C9" s="6" t="s">
        <v>480</v>
      </c>
      <c r="D9" s="2" t="s">
        <v>483</v>
      </c>
      <c r="E9">
        <v>1</v>
      </c>
      <c r="F9" s="2" t="s">
        <v>472</v>
      </c>
      <c r="G9" s="2" t="s">
        <v>499</v>
      </c>
      <c r="H9" s="2"/>
      <c r="I9" s="2" t="s">
        <v>494</v>
      </c>
      <c r="J9" s="2"/>
      <c r="K9" s="2"/>
      <c r="L9" s="2"/>
      <c r="M9" s="2"/>
      <c r="N9" s="2"/>
      <c r="O9" s="2"/>
      <c r="P9" s="34" t="b">
        <v>0</v>
      </c>
      <c r="Q9" s="13"/>
      <c r="S9" s="2"/>
    </row>
    <row r="10" spans="1:19">
      <c r="A10" t="s">
        <v>481</v>
      </c>
      <c r="B10" s="31" t="b">
        <v>0</v>
      </c>
      <c r="C10" s="6" t="s">
        <v>480</v>
      </c>
      <c r="D10" s="2" t="s">
        <v>484</v>
      </c>
      <c r="E10">
        <v>2</v>
      </c>
      <c r="F10" s="2" t="s">
        <v>472</v>
      </c>
      <c r="G10" s="2" t="s">
        <v>499</v>
      </c>
      <c r="H10" s="2"/>
      <c r="I10" s="2" t="s">
        <v>495</v>
      </c>
      <c r="J10" s="2">
        <v>0</v>
      </c>
      <c r="K10" s="2"/>
      <c r="L10" s="2"/>
      <c r="M10" s="2"/>
      <c r="N10" s="2"/>
      <c r="O10" s="2"/>
      <c r="P10" s="34" t="b">
        <v>0</v>
      </c>
      <c r="Q10" s="13"/>
      <c r="S10" s="2"/>
    </row>
    <row r="11" spans="1:19">
      <c r="A11" t="s">
        <v>481</v>
      </c>
      <c r="B11" s="31" t="b">
        <v>0</v>
      </c>
      <c r="C11" s="6" t="s">
        <v>480</v>
      </c>
      <c r="D11" s="2" t="s">
        <v>485</v>
      </c>
      <c r="E11">
        <v>3</v>
      </c>
      <c r="F11" s="2" t="s">
        <v>472</v>
      </c>
      <c r="G11" s="2" t="s">
        <v>499</v>
      </c>
      <c r="I11" s="2" t="s">
        <v>495</v>
      </c>
      <c r="J11" s="2">
        <v>6</v>
      </c>
      <c r="K11" s="2"/>
      <c r="L11" s="2"/>
      <c r="M11" s="2"/>
      <c r="N11" s="2"/>
      <c r="O11" s="2"/>
      <c r="P11" s="34" t="b">
        <v>0</v>
      </c>
      <c r="Q11" s="13"/>
    </row>
    <row r="12" spans="1:19">
      <c r="A12" t="s">
        <v>481</v>
      </c>
      <c r="B12" s="31" t="b">
        <v>0</v>
      </c>
      <c r="C12" s="6" t="s">
        <v>480</v>
      </c>
      <c r="D12" s="2" t="s">
        <v>486</v>
      </c>
      <c r="E12">
        <v>4</v>
      </c>
      <c r="F12" s="2" t="s">
        <v>472</v>
      </c>
      <c r="G12" s="2" t="s">
        <v>499</v>
      </c>
      <c r="H12" s="2" t="s">
        <v>486</v>
      </c>
      <c r="I12" s="2" t="s">
        <v>495</v>
      </c>
      <c r="J12" s="2">
        <v>0</v>
      </c>
      <c r="K12" s="2"/>
      <c r="L12" s="2"/>
      <c r="M12" s="2"/>
      <c r="N12" s="2"/>
      <c r="O12" s="2"/>
      <c r="P12" s="34" t="b">
        <v>0</v>
      </c>
      <c r="Q12" s="13"/>
      <c r="S12" s="2" t="s">
        <v>497</v>
      </c>
    </row>
    <row r="13" spans="1:19">
      <c r="A13" s="4" t="s">
        <v>333</v>
      </c>
      <c r="B13" s="35" t="b">
        <v>1</v>
      </c>
      <c r="C13" s="6" t="s">
        <v>358</v>
      </c>
      <c r="D13" s="2" t="s">
        <v>334</v>
      </c>
      <c r="E13">
        <v>0</v>
      </c>
      <c r="F13" s="2" t="s">
        <v>471</v>
      </c>
      <c r="G13" s="2" t="s">
        <v>473</v>
      </c>
      <c r="H13" s="2" t="s">
        <v>473</v>
      </c>
      <c r="I13" s="2" t="s">
        <v>494</v>
      </c>
      <c r="J13" s="2"/>
      <c r="K13" s="2"/>
      <c r="L13" s="2">
        <v>5</v>
      </c>
      <c r="M13" s="2"/>
      <c r="N13" s="2"/>
      <c r="O13" s="2"/>
      <c r="P13" s="2" t="b">
        <v>1</v>
      </c>
      <c r="Q13" s="13" t="s">
        <v>593</v>
      </c>
      <c r="S13" s="2" t="s">
        <v>473</v>
      </c>
    </row>
    <row r="14" spans="1:19">
      <c r="A14" s="4" t="s">
        <v>336</v>
      </c>
      <c r="B14" s="35" t="b">
        <v>1</v>
      </c>
      <c r="C14" s="6" t="s">
        <v>358</v>
      </c>
      <c r="D14" s="2" t="s">
        <v>335</v>
      </c>
      <c r="E14">
        <v>0</v>
      </c>
      <c r="F14" s="2" t="s">
        <v>471</v>
      </c>
      <c r="G14" s="2" t="s">
        <v>473</v>
      </c>
      <c r="H14" s="2" t="s">
        <v>473</v>
      </c>
      <c r="I14" s="2" t="s">
        <v>494</v>
      </c>
      <c r="J14" s="2"/>
      <c r="K14" s="2"/>
      <c r="L14" s="2"/>
      <c r="M14" s="2"/>
      <c r="N14" s="2"/>
      <c r="O14" s="2"/>
      <c r="P14" s="2" t="b">
        <v>1</v>
      </c>
      <c r="Q14" s="13" t="s">
        <v>594</v>
      </c>
      <c r="S14" s="2" t="s">
        <v>473</v>
      </c>
    </row>
    <row r="15" spans="1:19">
      <c r="A15" s="4" t="s">
        <v>337</v>
      </c>
      <c r="B15" s="35" t="b">
        <v>1</v>
      </c>
      <c r="C15" s="6" t="s">
        <v>358</v>
      </c>
      <c r="D15" s="2" t="s">
        <v>338</v>
      </c>
      <c r="E15">
        <v>0</v>
      </c>
      <c r="F15" s="2" t="s">
        <v>471</v>
      </c>
      <c r="G15" s="2" t="s">
        <v>473</v>
      </c>
      <c r="H15" s="2" t="s">
        <v>473</v>
      </c>
      <c r="I15" s="2" t="s">
        <v>494</v>
      </c>
      <c r="J15" s="2"/>
      <c r="K15" s="2"/>
      <c r="L15" s="2"/>
      <c r="M15" s="2"/>
      <c r="N15" s="2"/>
      <c r="O15" s="2"/>
      <c r="P15" s="2" t="b">
        <v>1</v>
      </c>
      <c r="Q15" s="13" t="s">
        <v>595</v>
      </c>
      <c r="S15" s="2" t="s">
        <v>473</v>
      </c>
    </row>
    <row r="16" spans="1:19">
      <c r="A16" s="4" t="s">
        <v>339</v>
      </c>
      <c r="B16" s="35" t="b">
        <v>1</v>
      </c>
      <c r="C16" s="6" t="s">
        <v>358</v>
      </c>
      <c r="D16" s="2" t="s">
        <v>340</v>
      </c>
      <c r="E16">
        <v>0</v>
      </c>
      <c r="F16" s="2" t="s">
        <v>471</v>
      </c>
      <c r="G16" s="2" t="s">
        <v>473</v>
      </c>
      <c r="H16" s="2" t="s">
        <v>473</v>
      </c>
      <c r="I16" s="2" t="s">
        <v>494</v>
      </c>
      <c r="J16" s="2"/>
      <c r="K16" s="2"/>
      <c r="L16" s="2"/>
      <c r="M16" s="2"/>
      <c r="N16" s="2"/>
      <c r="O16" s="2"/>
      <c r="P16" s="2" t="b">
        <v>1</v>
      </c>
      <c r="Q16" s="13" t="s">
        <v>596</v>
      </c>
      <c r="S16" s="2" t="s">
        <v>473</v>
      </c>
    </row>
    <row r="17" spans="1:19">
      <c r="A17" s="4" t="s">
        <v>342</v>
      </c>
      <c r="B17" s="35" t="b">
        <v>1</v>
      </c>
      <c r="C17" s="6" t="s">
        <v>358</v>
      </c>
      <c r="D17" s="2" t="s">
        <v>341</v>
      </c>
      <c r="E17">
        <v>0</v>
      </c>
      <c r="F17" s="2" t="s">
        <v>471</v>
      </c>
      <c r="G17" s="2" t="s">
        <v>473</v>
      </c>
      <c r="H17" s="2" t="s">
        <v>473</v>
      </c>
      <c r="I17" s="2" t="s">
        <v>494</v>
      </c>
      <c r="J17" s="2"/>
      <c r="K17" s="2"/>
      <c r="L17" s="2"/>
      <c r="M17" s="2"/>
      <c r="N17" s="2"/>
      <c r="O17" s="2"/>
      <c r="P17" s="2" t="b">
        <v>1</v>
      </c>
      <c r="Q17" s="13" t="s">
        <v>292</v>
      </c>
      <c r="S17" s="2" t="s">
        <v>473</v>
      </c>
    </row>
    <row r="18" spans="1:19" ht="16.5">
      <c r="A18" s="18" t="s">
        <v>543</v>
      </c>
      <c r="B18" s="35" t="b">
        <v>1</v>
      </c>
      <c r="C18" s="6" t="s">
        <v>358</v>
      </c>
      <c r="D18" s="2" t="s">
        <v>343</v>
      </c>
      <c r="E18">
        <v>0</v>
      </c>
      <c r="F18" s="2" t="s">
        <v>471</v>
      </c>
      <c r="G18" s="2" t="s">
        <v>473</v>
      </c>
      <c r="H18" s="2" t="s">
        <v>664</v>
      </c>
      <c r="I18" s="2" t="s">
        <v>494</v>
      </c>
      <c r="J18" s="2"/>
      <c r="K18" s="2"/>
      <c r="L18" s="2"/>
      <c r="M18" s="2"/>
      <c r="N18" s="2"/>
      <c r="O18" s="2"/>
      <c r="P18" s="2" t="b">
        <v>1</v>
      </c>
      <c r="Q18" s="14" t="s">
        <v>597</v>
      </c>
      <c r="R18" s="2" t="s">
        <v>665</v>
      </c>
      <c r="S18" s="2" t="s">
        <v>473</v>
      </c>
    </row>
    <row r="19" spans="1:19">
      <c r="A19" s="4" t="s">
        <v>344</v>
      </c>
      <c r="B19" s="35" t="b">
        <v>1</v>
      </c>
      <c r="C19" s="6" t="s">
        <v>358</v>
      </c>
      <c r="D19" s="2" t="s">
        <v>345</v>
      </c>
      <c r="E19">
        <v>0</v>
      </c>
      <c r="F19" s="2" t="s">
        <v>471</v>
      </c>
      <c r="G19" s="2" t="s">
        <v>473</v>
      </c>
      <c r="H19" s="2" t="s">
        <v>664</v>
      </c>
      <c r="I19" s="2" t="s">
        <v>494</v>
      </c>
      <c r="J19" s="2"/>
      <c r="K19" s="2"/>
      <c r="L19" s="2"/>
      <c r="M19" s="2"/>
      <c r="N19" s="2"/>
      <c r="O19" s="2"/>
      <c r="P19" s="2" t="b">
        <v>1</v>
      </c>
      <c r="Q19" s="14" t="s">
        <v>597</v>
      </c>
      <c r="S19" s="2" t="s">
        <v>473</v>
      </c>
    </row>
    <row r="20" spans="1:19">
      <c r="A20" s="4" t="s">
        <v>346</v>
      </c>
      <c r="B20" s="35" t="b">
        <v>1</v>
      </c>
      <c r="C20" s="6" t="s">
        <v>358</v>
      </c>
      <c r="D20" s="2" t="s">
        <v>347</v>
      </c>
      <c r="E20">
        <v>0</v>
      </c>
      <c r="F20" s="2" t="s">
        <v>471</v>
      </c>
      <c r="G20" s="2" t="s">
        <v>473</v>
      </c>
      <c r="H20" s="2" t="s">
        <v>664</v>
      </c>
      <c r="I20" s="2" t="s">
        <v>494</v>
      </c>
      <c r="J20" s="2"/>
      <c r="K20" s="2"/>
      <c r="L20" s="2"/>
      <c r="M20" s="2"/>
      <c r="N20" s="2"/>
      <c r="O20" s="2"/>
      <c r="P20" s="2" t="b">
        <v>1</v>
      </c>
      <c r="Q20" s="14" t="s">
        <v>598</v>
      </c>
      <c r="S20" s="2" t="s">
        <v>473</v>
      </c>
    </row>
    <row r="21" spans="1:19">
      <c r="A21" s="4" t="s">
        <v>351</v>
      </c>
      <c r="B21" s="35" t="b">
        <v>1</v>
      </c>
      <c r="C21" s="6" t="s">
        <v>358</v>
      </c>
      <c r="D21" s="2" t="s">
        <v>350</v>
      </c>
      <c r="E21">
        <v>0</v>
      </c>
      <c r="F21" s="2" t="s">
        <v>471</v>
      </c>
      <c r="G21" s="2" t="s">
        <v>473</v>
      </c>
      <c r="H21" s="2" t="s">
        <v>473</v>
      </c>
      <c r="I21" s="2" t="s">
        <v>494</v>
      </c>
      <c r="J21" s="2"/>
      <c r="K21" s="2"/>
      <c r="L21" s="2"/>
      <c r="M21" s="2"/>
      <c r="N21" s="2"/>
      <c r="O21" s="2"/>
      <c r="P21" s="2" t="b">
        <v>1</v>
      </c>
      <c r="Q21" s="13" t="s">
        <v>599</v>
      </c>
      <c r="S21" s="2" t="s">
        <v>473</v>
      </c>
    </row>
    <row r="22" spans="1:19">
      <c r="A22" s="4" t="s">
        <v>352</v>
      </c>
      <c r="B22" s="35" t="b">
        <v>1</v>
      </c>
      <c r="C22" s="6" t="s">
        <v>358</v>
      </c>
      <c r="D22" s="2" t="s">
        <v>353</v>
      </c>
      <c r="E22">
        <v>0</v>
      </c>
      <c r="F22" s="2" t="s">
        <v>471</v>
      </c>
      <c r="G22" s="2" t="s">
        <v>473</v>
      </c>
      <c r="H22" s="2" t="s">
        <v>473</v>
      </c>
      <c r="I22" s="2" t="s">
        <v>494</v>
      </c>
      <c r="J22" s="2"/>
      <c r="K22" s="2"/>
      <c r="L22" s="2"/>
      <c r="M22" s="2"/>
      <c r="N22" s="2"/>
      <c r="O22" s="2"/>
      <c r="P22" s="2" t="b">
        <v>1</v>
      </c>
      <c r="Q22" s="13" t="s">
        <v>600</v>
      </c>
      <c r="S22" s="2" t="s">
        <v>473</v>
      </c>
    </row>
    <row r="23" spans="1:19">
      <c r="A23" s="4" t="s">
        <v>348</v>
      </c>
      <c r="B23" s="35" t="b">
        <v>1</v>
      </c>
      <c r="C23" s="6" t="s">
        <v>358</v>
      </c>
      <c r="D23" s="2" t="s">
        <v>349</v>
      </c>
      <c r="E23">
        <v>0</v>
      </c>
      <c r="F23" s="2" t="s">
        <v>471</v>
      </c>
      <c r="G23" s="2" t="s">
        <v>473</v>
      </c>
      <c r="H23" s="2" t="s">
        <v>664</v>
      </c>
      <c r="I23" s="2" t="s">
        <v>494</v>
      </c>
      <c r="J23" s="2"/>
      <c r="K23" s="2"/>
      <c r="L23" s="2"/>
      <c r="M23" s="2"/>
      <c r="N23" s="2"/>
      <c r="O23" s="2"/>
      <c r="P23" s="34" t="b">
        <v>0</v>
      </c>
      <c r="Q23" s="13" t="s">
        <v>597</v>
      </c>
      <c r="S23" s="2" t="s">
        <v>473</v>
      </c>
    </row>
    <row r="24" spans="1:19">
      <c r="A24" s="4" t="s">
        <v>354</v>
      </c>
      <c r="B24" s="35" t="b">
        <v>1</v>
      </c>
      <c r="C24" s="6" t="s">
        <v>358</v>
      </c>
      <c r="D24" s="2" t="s">
        <v>355</v>
      </c>
      <c r="E24">
        <v>0</v>
      </c>
      <c r="F24" s="2" t="s">
        <v>471</v>
      </c>
      <c r="G24" s="2" t="s">
        <v>473</v>
      </c>
      <c r="H24" s="2" t="s">
        <v>664</v>
      </c>
      <c r="I24" s="2" t="s">
        <v>494</v>
      </c>
      <c r="J24" s="2"/>
      <c r="K24" s="2"/>
      <c r="L24" s="2"/>
      <c r="M24" s="2"/>
      <c r="N24" s="2"/>
      <c r="O24" s="2"/>
      <c r="P24" s="34" t="b">
        <v>0</v>
      </c>
      <c r="Q24" s="13" t="s">
        <v>601</v>
      </c>
      <c r="S24" s="2" t="s">
        <v>473</v>
      </c>
    </row>
    <row r="25" spans="1:19">
      <c r="A25" s="4" t="s">
        <v>356</v>
      </c>
      <c r="B25" s="35" t="b">
        <v>1</v>
      </c>
      <c r="C25" s="6" t="s">
        <v>358</v>
      </c>
      <c r="D25" s="2" t="s">
        <v>488</v>
      </c>
      <c r="E25">
        <v>0</v>
      </c>
      <c r="F25" s="2" t="s">
        <v>471</v>
      </c>
      <c r="G25" s="2"/>
      <c r="I25" s="2" t="s">
        <v>494</v>
      </c>
      <c r="P25" s="34" t="b">
        <v>0</v>
      </c>
    </row>
    <row r="26" spans="1:19">
      <c r="A26" s="4" t="s">
        <v>356</v>
      </c>
      <c r="B26" s="35" t="b">
        <v>1</v>
      </c>
      <c r="C26" s="11" t="s">
        <v>358</v>
      </c>
      <c r="D26" s="10" t="s">
        <v>476</v>
      </c>
      <c r="E26" s="11">
        <v>1</v>
      </c>
      <c r="F26" s="10" t="s">
        <v>472</v>
      </c>
      <c r="G26" s="10" t="s">
        <v>499</v>
      </c>
      <c r="H26" s="10" t="s">
        <v>476</v>
      </c>
      <c r="I26" s="10" t="s">
        <v>495</v>
      </c>
      <c r="J26" s="11">
        <v>0</v>
      </c>
      <c r="K26" s="11"/>
      <c r="L26" s="11"/>
      <c r="M26" s="11"/>
      <c r="N26" s="11"/>
      <c r="O26" s="11"/>
      <c r="P26" s="34" t="b">
        <v>0</v>
      </c>
      <c r="R26" s="11"/>
      <c r="S26" s="10" t="s">
        <v>497</v>
      </c>
    </row>
    <row r="27" spans="1:19">
      <c r="A27" s="4" t="s">
        <v>698</v>
      </c>
      <c r="B27" s="35" t="b">
        <v>1</v>
      </c>
      <c r="C27" s="5" t="s">
        <v>541</v>
      </c>
      <c r="D27" s="2" t="s">
        <v>501</v>
      </c>
      <c r="E27">
        <v>0</v>
      </c>
      <c r="F27" s="2" t="s">
        <v>471</v>
      </c>
      <c r="G27" s="2"/>
      <c r="I27" s="2" t="s">
        <v>494</v>
      </c>
      <c r="P27" s="34" t="b">
        <v>0</v>
      </c>
    </row>
    <row r="28" spans="1:19">
      <c r="A28" s="4" t="s">
        <v>698</v>
      </c>
      <c r="B28" s="35" t="b">
        <v>1</v>
      </c>
      <c r="C28" s="5" t="s">
        <v>541</v>
      </c>
      <c r="D28" s="2" t="s">
        <v>502</v>
      </c>
      <c r="E28">
        <v>1</v>
      </c>
      <c r="F28" s="2" t="s">
        <v>471</v>
      </c>
      <c r="G28" s="2"/>
      <c r="I28" s="2" t="s">
        <v>494</v>
      </c>
      <c r="P28" s="34" t="b">
        <v>0</v>
      </c>
    </row>
    <row r="29" spans="1:19">
      <c r="A29" s="4" t="s">
        <v>698</v>
      </c>
      <c r="B29" s="35" t="b">
        <v>1</v>
      </c>
      <c r="C29" s="5" t="s">
        <v>541</v>
      </c>
      <c r="D29" s="2" t="s">
        <v>484</v>
      </c>
      <c r="E29">
        <v>2</v>
      </c>
      <c r="F29" s="2" t="s">
        <v>472</v>
      </c>
      <c r="G29" s="2"/>
      <c r="I29" s="2" t="s">
        <v>495</v>
      </c>
      <c r="J29">
        <v>0</v>
      </c>
      <c r="P29" s="34" t="b">
        <v>0</v>
      </c>
      <c r="R29" t="s">
        <v>694</v>
      </c>
    </row>
    <row r="30" spans="1:19">
      <c r="A30" s="4" t="s">
        <v>698</v>
      </c>
      <c r="B30" s="35" t="b">
        <v>1</v>
      </c>
      <c r="C30" s="5" t="s">
        <v>541</v>
      </c>
      <c r="D30" s="2" t="s">
        <v>485</v>
      </c>
      <c r="E30">
        <v>3</v>
      </c>
      <c r="F30" s="2" t="s">
        <v>472</v>
      </c>
      <c r="G30" s="2"/>
      <c r="I30" s="2" t="s">
        <v>495</v>
      </c>
      <c r="J30">
        <v>8</v>
      </c>
      <c r="P30" s="34" t="b">
        <v>0</v>
      </c>
    </row>
    <row r="31" spans="1:19">
      <c r="A31" s="4" t="s">
        <v>698</v>
      </c>
      <c r="B31" s="35" t="b">
        <v>1</v>
      </c>
      <c r="C31" s="5" t="s">
        <v>541</v>
      </c>
      <c r="D31" s="2" t="s">
        <v>503</v>
      </c>
      <c r="E31">
        <v>4</v>
      </c>
      <c r="F31" s="2" t="s">
        <v>472</v>
      </c>
      <c r="G31" s="2" t="s">
        <v>499</v>
      </c>
      <c r="I31" s="2" t="s">
        <v>495</v>
      </c>
      <c r="J31">
        <v>1</v>
      </c>
      <c r="L31">
        <v>5</v>
      </c>
      <c r="P31" s="34" t="b">
        <v>0</v>
      </c>
    </row>
    <row r="32" spans="1:19">
      <c r="A32" s="4" t="s">
        <v>699</v>
      </c>
      <c r="B32" s="35" t="b">
        <v>1</v>
      </c>
      <c r="C32" s="5" t="s">
        <v>541</v>
      </c>
      <c r="D32" s="2" t="s">
        <v>515</v>
      </c>
      <c r="E32">
        <v>0</v>
      </c>
      <c r="F32" s="2" t="s">
        <v>471</v>
      </c>
      <c r="I32" s="2" t="s">
        <v>494</v>
      </c>
      <c r="P32" s="34" t="b">
        <v>0</v>
      </c>
    </row>
    <row r="33" spans="1:17">
      <c r="A33" s="4" t="s">
        <v>699</v>
      </c>
      <c r="B33" s="35" t="b">
        <v>1</v>
      </c>
      <c r="C33" s="5" t="s">
        <v>541</v>
      </c>
      <c r="D33" t="s">
        <v>476</v>
      </c>
      <c r="E33">
        <v>1</v>
      </c>
      <c r="F33" s="2" t="s">
        <v>472</v>
      </c>
      <c r="G33" s="2" t="s">
        <v>499</v>
      </c>
      <c r="H33" t="s">
        <v>476</v>
      </c>
      <c r="I33" s="2" t="s">
        <v>495</v>
      </c>
      <c r="J33">
        <v>2</v>
      </c>
      <c r="L33">
        <v>5</v>
      </c>
      <c r="P33" s="34" t="b">
        <v>0</v>
      </c>
    </row>
    <row r="34" spans="1:17">
      <c r="A34" s="4" t="s">
        <v>700</v>
      </c>
      <c r="B34" s="35" t="b">
        <v>1</v>
      </c>
      <c r="C34" s="5" t="s">
        <v>541</v>
      </c>
      <c r="D34" s="2" t="s">
        <v>515</v>
      </c>
      <c r="E34">
        <v>0</v>
      </c>
      <c r="F34" s="2" t="s">
        <v>471</v>
      </c>
      <c r="I34" s="2" t="s">
        <v>494</v>
      </c>
      <c r="P34" s="34" t="b">
        <v>0</v>
      </c>
    </row>
    <row r="35" spans="1:17">
      <c r="A35" s="4" t="s">
        <v>700</v>
      </c>
      <c r="B35" s="35" t="b">
        <v>1</v>
      </c>
      <c r="C35" s="5" t="s">
        <v>541</v>
      </c>
      <c r="D35" s="2" t="s">
        <v>697</v>
      </c>
      <c r="E35">
        <v>1</v>
      </c>
      <c r="F35" s="2" t="s">
        <v>696</v>
      </c>
      <c r="I35" s="2" t="s">
        <v>494</v>
      </c>
      <c r="P35" s="34" t="b">
        <v>0</v>
      </c>
    </row>
    <row r="36" spans="1:17">
      <c r="A36" s="4" t="s">
        <v>700</v>
      </c>
      <c r="B36" s="35" t="b">
        <v>1</v>
      </c>
      <c r="C36" s="5" t="s">
        <v>541</v>
      </c>
      <c r="D36" t="s">
        <v>476</v>
      </c>
      <c r="E36">
        <v>2</v>
      </c>
      <c r="F36" s="2" t="s">
        <v>472</v>
      </c>
      <c r="G36" s="2" t="s">
        <v>499</v>
      </c>
      <c r="H36" t="s">
        <v>476</v>
      </c>
      <c r="I36" s="2" t="s">
        <v>495</v>
      </c>
      <c r="J36">
        <v>0</v>
      </c>
      <c r="L36">
        <v>5</v>
      </c>
      <c r="P36" s="34" t="b">
        <v>0</v>
      </c>
    </row>
    <row r="37" spans="1:17">
      <c r="A37" s="4" t="s">
        <v>685</v>
      </c>
      <c r="B37" s="35" t="b">
        <v>1</v>
      </c>
      <c r="C37" s="5" t="s">
        <v>359</v>
      </c>
      <c r="D37" s="2" t="s">
        <v>501</v>
      </c>
      <c r="E37">
        <v>0</v>
      </c>
      <c r="F37" s="2" t="s">
        <v>471</v>
      </c>
      <c r="G37" s="2" t="s">
        <v>499</v>
      </c>
      <c r="I37" s="2" t="s">
        <v>494</v>
      </c>
      <c r="L37">
        <v>5</v>
      </c>
      <c r="P37" s="34" t="b">
        <v>0</v>
      </c>
    </row>
    <row r="38" spans="1:17">
      <c r="A38" s="4" t="s">
        <v>685</v>
      </c>
      <c r="B38" s="35" t="b">
        <v>1</v>
      </c>
      <c r="C38" s="5" t="s">
        <v>359</v>
      </c>
      <c r="D38" s="2" t="s">
        <v>476</v>
      </c>
      <c r="E38">
        <v>1</v>
      </c>
      <c r="F38" s="2" t="s">
        <v>472</v>
      </c>
      <c r="G38" s="2" t="s">
        <v>499</v>
      </c>
      <c r="I38" s="2" t="s">
        <v>495</v>
      </c>
      <c r="J38">
        <v>0</v>
      </c>
      <c r="P38" s="34" t="b">
        <v>0</v>
      </c>
    </row>
    <row r="39" spans="1:17">
      <c r="A39" s="36" t="s">
        <v>1312</v>
      </c>
      <c r="B39" s="35" t="b">
        <v>1</v>
      </c>
      <c r="C39" s="5" t="s">
        <v>359</v>
      </c>
      <c r="D39" s="2" t="s">
        <v>504</v>
      </c>
      <c r="E39">
        <v>0</v>
      </c>
      <c r="F39" s="2" t="s">
        <v>471</v>
      </c>
      <c r="G39" s="2" t="s">
        <v>473</v>
      </c>
      <c r="I39" s="2" t="s">
        <v>494</v>
      </c>
      <c r="L39">
        <v>10</v>
      </c>
      <c r="P39" s="2" t="b">
        <v>1</v>
      </c>
      <c r="Q39" s="12" t="s">
        <v>602</v>
      </c>
    </row>
    <row r="40" spans="1:17">
      <c r="A40" s="36" t="s">
        <v>1313</v>
      </c>
      <c r="B40" s="35" t="b">
        <v>1</v>
      </c>
      <c r="C40" s="5" t="s">
        <v>359</v>
      </c>
      <c r="D40" s="2" t="s">
        <v>505</v>
      </c>
      <c r="E40">
        <v>0</v>
      </c>
      <c r="F40" s="2" t="s">
        <v>471</v>
      </c>
      <c r="G40" s="2" t="s">
        <v>473</v>
      </c>
      <c r="I40" s="2" t="s">
        <v>494</v>
      </c>
      <c r="P40" s="2" t="b">
        <v>1</v>
      </c>
      <c r="Q40" s="12">
        <v>1570</v>
      </c>
    </row>
    <row r="41" spans="1:17">
      <c r="A41" s="36" t="s">
        <v>1332</v>
      </c>
      <c r="B41" s="35" t="b">
        <v>1</v>
      </c>
      <c r="C41" s="5" t="s">
        <v>359</v>
      </c>
      <c r="D41" s="2" t="s">
        <v>506</v>
      </c>
      <c r="E41">
        <v>0</v>
      </c>
      <c r="F41" s="2" t="s">
        <v>471</v>
      </c>
      <c r="G41" s="2" t="s">
        <v>473</v>
      </c>
      <c r="I41" s="2" t="s">
        <v>494</v>
      </c>
      <c r="P41" s="2" t="b">
        <v>1</v>
      </c>
      <c r="Q41" s="12" t="s">
        <v>603</v>
      </c>
    </row>
    <row r="42" spans="1:17">
      <c r="A42" s="36" t="s">
        <v>1314</v>
      </c>
      <c r="B42" s="35" t="b">
        <v>1</v>
      </c>
      <c r="C42" s="5" t="s">
        <v>359</v>
      </c>
      <c r="D42" s="2" t="s">
        <v>507</v>
      </c>
      <c r="E42">
        <v>0</v>
      </c>
      <c r="F42" s="2" t="s">
        <v>471</v>
      </c>
      <c r="G42" s="2" t="s">
        <v>473</v>
      </c>
      <c r="I42" s="2" t="s">
        <v>494</v>
      </c>
      <c r="P42" s="2" t="b">
        <v>1</v>
      </c>
      <c r="Q42" s="15" t="s">
        <v>604</v>
      </c>
    </row>
    <row r="43" spans="1:17">
      <c r="A43" s="36" t="s">
        <v>1316</v>
      </c>
      <c r="B43" s="35" t="b">
        <v>1</v>
      </c>
      <c r="C43" s="5" t="s">
        <v>359</v>
      </c>
      <c r="D43" s="2" t="s">
        <v>508</v>
      </c>
      <c r="E43">
        <v>0</v>
      </c>
      <c r="F43" s="2" t="s">
        <v>471</v>
      </c>
      <c r="G43" s="2" t="s">
        <v>499</v>
      </c>
      <c r="H43" s="2" t="s">
        <v>509</v>
      </c>
      <c r="I43" s="2" t="s">
        <v>494</v>
      </c>
      <c r="P43" s="2" t="b">
        <v>1</v>
      </c>
      <c r="Q43" s="12" t="s">
        <v>603</v>
      </c>
    </row>
    <row r="44" spans="1:17">
      <c r="A44" s="36" t="s">
        <v>1316</v>
      </c>
      <c r="B44" s="35" t="b">
        <v>1</v>
      </c>
      <c r="C44" s="5" t="s">
        <v>359</v>
      </c>
      <c r="D44" s="2"/>
      <c r="E44">
        <v>1</v>
      </c>
      <c r="F44" s="2" t="s">
        <v>510</v>
      </c>
      <c r="G44" s="2" t="s">
        <v>509</v>
      </c>
      <c r="H44" s="2" t="s">
        <v>509</v>
      </c>
      <c r="I44" s="2" t="s">
        <v>509</v>
      </c>
      <c r="P44" s="2" t="b">
        <v>1</v>
      </c>
      <c r="Q44" s="12" t="s">
        <v>603</v>
      </c>
    </row>
    <row r="45" spans="1:17">
      <c r="A45" s="36" t="s">
        <v>1317</v>
      </c>
      <c r="B45" s="35" t="b">
        <v>1</v>
      </c>
      <c r="C45" s="5" t="s">
        <v>359</v>
      </c>
      <c r="D45" s="2" t="s">
        <v>512</v>
      </c>
      <c r="E45">
        <v>0</v>
      </c>
      <c r="F45" s="2" t="s">
        <v>471</v>
      </c>
      <c r="G45" s="2" t="s">
        <v>473</v>
      </c>
      <c r="H45" s="2"/>
      <c r="I45" s="2" t="s">
        <v>494</v>
      </c>
      <c r="P45" s="2" t="b">
        <v>1</v>
      </c>
      <c r="Q45" s="12" t="s">
        <v>1387</v>
      </c>
    </row>
    <row r="46" spans="1:17">
      <c r="A46" s="36" t="s">
        <v>1333</v>
      </c>
      <c r="B46" s="35" t="b">
        <v>1</v>
      </c>
      <c r="C46" s="5" t="s">
        <v>359</v>
      </c>
      <c r="D46" s="2" t="s">
        <v>666</v>
      </c>
      <c r="E46">
        <v>0</v>
      </c>
      <c r="F46" s="2" t="s">
        <v>471</v>
      </c>
      <c r="G46" s="2" t="s">
        <v>473</v>
      </c>
      <c r="H46" s="2" t="s">
        <v>664</v>
      </c>
      <c r="I46" s="2" t="s">
        <v>494</v>
      </c>
      <c r="P46" s="2" t="b">
        <v>1</v>
      </c>
    </row>
    <row r="47" spans="1:17">
      <c r="A47" s="36" t="s">
        <v>1318</v>
      </c>
      <c r="B47" s="35" t="b">
        <v>1</v>
      </c>
      <c r="C47" s="5" t="s">
        <v>359</v>
      </c>
      <c r="D47" s="2" t="s">
        <v>513</v>
      </c>
      <c r="E47">
        <v>0</v>
      </c>
      <c r="F47" s="2" t="s">
        <v>471</v>
      </c>
      <c r="G47" s="2" t="s">
        <v>473</v>
      </c>
      <c r="H47" s="2"/>
      <c r="I47" s="2" t="s">
        <v>494</v>
      </c>
      <c r="P47" s="2" t="b">
        <v>1</v>
      </c>
      <c r="Q47" s="36" t="s">
        <v>1386</v>
      </c>
    </row>
    <row r="48" spans="1:17">
      <c r="A48" s="36" t="s">
        <v>1315</v>
      </c>
      <c r="B48" s="35" t="b">
        <v>1</v>
      </c>
      <c r="C48" s="5" t="s">
        <v>359</v>
      </c>
      <c r="D48" s="2" t="s">
        <v>514</v>
      </c>
      <c r="E48">
        <v>0</v>
      </c>
      <c r="F48" s="2" t="s">
        <v>471</v>
      </c>
      <c r="G48" s="2" t="s">
        <v>499</v>
      </c>
      <c r="H48" s="2" t="s">
        <v>509</v>
      </c>
      <c r="I48" s="2" t="s">
        <v>494</v>
      </c>
      <c r="P48" s="2" t="b">
        <v>1</v>
      </c>
      <c r="Q48" s="12" t="s">
        <v>603</v>
      </c>
    </row>
    <row r="49" spans="1:19">
      <c r="A49" s="36" t="s">
        <v>1315</v>
      </c>
      <c r="B49" s="35" t="b">
        <v>1</v>
      </c>
      <c r="C49" s="5" t="s">
        <v>359</v>
      </c>
      <c r="D49" s="2"/>
      <c r="E49">
        <v>1</v>
      </c>
      <c r="F49" s="2" t="s">
        <v>510</v>
      </c>
      <c r="G49" s="2" t="s">
        <v>509</v>
      </c>
      <c r="H49" s="2" t="s">
        <v>509</v>
      </c>
      <c r="I49" s="2" t="s">
        <v>509</v>
      </c>
      <c r="P49" s="2" t="b">
        <v>1</v>
      </c>
      <c r="Q49" s="12" t="s">
        <v>603</v>
      </c>
    </row>
    <row r="50" spans="1:19">
      <c r="A50" s="4" t="s">
        <v>691</v>
      </c>
      <c r="B50" s="35" t="b">
        <v>1</v>
      </c>
      <c r="C50" s="5" t="s">
        <v>359</v>
      </c>
      <c r="D50" s="2" t="s">
        <v>515</v>
      </c>
      <c r="E50">
        <v>0</v>
      </c>
      <c r="F50" s="2" t="s">
        <v>471</v>
      </c>
      <c r="G50" s="2"/>
      <c r="H50" s="2"/>
      <c r="I50" s="2" t="s">
        <v>494</v>
      </c>
      <c r="P50" s="34" t="b">
        <v>0</v>
      </c>
    </row>
    <row r="51" spans="1:19">
      <c r="A51" s="9" t="s">
        <v>691</v>
      </c>
      <c r="B51" s="35" t="b">
        <v>1</v>
      </c>
      <c r="C51" s="9" t="s">
        <v>359</v>
      </c>
      <c r="D51" s="10" t="s">
        <v>476</v>
      </c>
      <c r="E51" s="11">
        <v>1</v>
      </c>
      <c r="F51" s="10" t="s">
        <v>472</v>
      </c>
      <c r="G51" s="10" t="s">
        <v>499</v>
      </c>
      <c r="H51" s="10" t="s">
        <v>476</v>
      </c>
      <c r="I51" s="10" t="s">
        <v>495</v>
      </c>
      <c r="J51" s="11">
        <v>2</v>
      </c>
      <c r="K51" s="11"/>
      <c r="L51" s="11"/>
      <c r="M51" s="11"/>
      <c r="N51" s="11"/>
      <c r="O51" s="11"/>
      <c r="P51" s="34" t="b">
        <v>0</v>
      </c>
      <c r="R51" s="11" t="s">
        <v>668</v>
      </c>
      <c r="S51" s="11"/>
    </row>
    <row r="52" spans="1:19">
      <c r="A52" s="17" t="s">
        <v>701</v>
      </c>
      <c r="B52" s="35" t="b">
        <v>1</v>
      </c>
      <c r="C52" s="5" t="s">
        <v>359</v>
      </c>
      <c r="D52" s="2" t="s">
        <v>515</v>
      </c>
      <c r="E52">
        <v>0</v>
      </c>
      <c r="F52" s="2" t="s">
        <v>471</v>
      </c>
      <c r="I52" s="2" t="s">
        <v>494</v>
      </c>
      <c r="P52" s="34" t="b">
        <v>0</v>
      </c>
    </row>
    <row r="53" spans="1:19">
      <c r="A53" s="17" t="s">
        <v>701</v>
      </c>
      <c r="B53" s="35" t="b">
        <v>1</v>
      </c>
      <c r="C53" s="5" t="s">
        <v>359</v>
      </c>
      <c r="D53" s="2" t="s">
        <v>697</v>
      </c>
      <c r="E53">
        <v>1</v>
      </c>
      <c r="F53" s="2" t="s">
        <v>696</v>
      </c>
      <c r="I53" s="2" t="s">
        <v>494</v>
      </c>
      <c r="P53" s="34" t="b">
        <v>0</v>
      </c>
    </row>
    <row r="54" spans="1:19">
      <c r="A54" s="17" t="s">
        <v>701</v>
      </c>
      <c r="B54" s="35" t="b">
        <v>1</v>
      </c>
      <c r="C54" s="5" t="s">
        <v>359</v>
      </c>
      <c r="D54" t="s">
        <v>476</v>
      </c>
      <c r="E54">
        <v>2</v>
      </c>
      <c r="F54" s="2" t="s">
        <v>472</v>
      </c>
      <c r="G54" s="2" t="s">
        <v>499</v>
      </c>
      <c r="H54" t="s">
        <v>476</v>
      </c>
      <c r="I54" s="2" t="s">
        <v>495</v>
      </c>
      <c r="J54">
        <v>0</v>
      </c>
      <c r="L54">
        <v>3</v>
      </c>
      <c r="P54" s="34" t="b">
        <v>0</v>
      </c>
    </row>
    <row r="55" spans="1:19">
      <c r="A55" s="28" t="s">
        <v>1322</v>
      </c>
      <c r="B55" s="35" t="b">
        <v>1</v>
      </c>
      <c r="C55" s="5" t="s">
        <v>1392</v>
      </c>
      <c r="D55" s="2" t="s">
        <v>1393</v>
      </c>
      <c r="E55">
        <v>0</v>
      </c>
      <c r="F55" s="2" t="s">
        <v>471</v>
      </c>
      <c r="G55" s="2" t="s">
        <v>473</v>
      </c>
      <c r="H55" s="2" t="s">
        <v>473</v>
      </c>
      <c r="I55" s="2" t="s">
        <v>494</v>
      </c>
      <c r="P55" s="2" t="b">
        <v>1</v>
      </c>
    </row>
    <row r="56" spans="1:19">
      <c r="A56" s="28" t="s">
        <v>1323</v>
      </c>
      <c r="B56" s="35" t="b">
        <v>1</v>
      </c>
      <c r="C56" s="5" t="s">
        <v>1392</v>
      </c>
      <c r="D56" s="2" t="s">
        <v>1396</v>
      </c>
      <c r="E56">
        <v>0</v>
      </c>
      <c r="F56" s="2" t="s">
        <v>471</v>
      </c>
      <c r="G56" s="2" t="s">
        <v>473</v>
      </c>
      <c r="H56" s="2" t="s">
        <v>473</v>
      </c>
      <c r="I56" s="2" t="s">
        <v>494</v>
      </c>
      <c r="P56" s="2" t="b">
        <v>1</v>
      </c>
    </row>
    <row r="57" spans="1:19">
      <c r="A57" s="28" t="s">
        <v>1319</v>
      </c>
      <c r="B57" s="35" t="b">
        <v>1</v>
      </c>
      <c r="C57" s="5" t="s">
        <v>1392</v>
      </c>
      <c r="D57" s="2" t="s">
        <v>1397</v>
      </c>
      <c r="E57">
        <v>0</v>
      </c>
      <c r="F57" s="2" t="s">
        <v>471</v>
      </c>
      <c r="G57" s="2" t="s">
        <v>473</v>
      </c>
      <c r="H57" s="2" t="s">
        <v>473</v>
      </c>
      <c r="I57" s="2" t="s">
        <v>494</v>
      </c>
      <c r="P57" s="2" t="b">
        <v>1</v>
      </c>
    </row>
    <row r="58" spans="1:19">
      <c r="A58" s="28" t="s">
        <v>1394</v>
      </c>
      <c r="B58" s="35" t="b">
        <v>1</v>
      </c>
      <c r="C58" s="5" t="s">
        <v>1392</v>
      </c>
      <c r="D58" s="2" t="s">
        <v>1398</v>
      </c>
      <c r="E58">
        <v>0</v>
      </c>
      <c r="F58" s="2" t="s">
        <v>471</v>
      </c>
      <c r="G58" s="2" t="s">
        <v>473</v>
      </c>
      <c r="H58" s="2" t="s">
        <v>473</v>
      </c>
      <c r="I58" s="2" t="s">
        <v>494</v>
      </c>
      <c r="P58" s="2" t="b">
        <v>1</v>
      </c>
    </row>
    <row r="59" spans="1:19">
      <c r="A59" s="28" t="s">
        <v>1321</v>
      </c>
      <c r="B59" s="35" t="b">
        <v>1</v>
      </c>
      <c r="C59" s="5" t="s">
        <v>1392</v>
      </c>
      <c r="D59" s="2" t="s">
        <v>1399</v>
      </c>
      <c r="E59">
        <v>0</v>
      </c>
      <c r="F59" s="2" t="s">
        <v>471</v>
      </c>
      <c r="G59" s="2" t="s">
        <v>473</v>
      </c>
      <c r="H59" s="2" t="s">
        <v>473</v>
      </c>
      <c r="I59" s="2" t="s">
        <v>494</v>
      </c>
      <c r="P59" s="2" t="b">
        <v>1</v>
      </c>
    </row>
    <row r="60" spans="1:19" s="11" customFormat="1">
      <c r="A60" s="28" t="s">
        <v>1324</v>
      </c>
      <c r="B60" s="35" t="b">
        <v>1</v>
      </c>
      <c r="C60" s="5" t="s">
        <v>1392</v>
      </c>
      <c r="D60" s="2" t="s">
        <v>1400</v>
      </c>
      <c r="E60">
        <v>0</v>
      </c>
      <c r="F60" s="2" t="s">
        <v>471</v>
      </c>
      <c r="G60" s="2" t="s">
        <v>473</v>
      </c>
      <c r="H60" s="2" t="s">
        <v>473</v>
      </c>
      <c r="I60" s="2" t="s">
        <v>494</v>
      </c>
      <c r="J60"/>
      <c r="K60"/>
      <c r="L60"/>
      <c r="M60"/>
      <c r="N60"/>
      <c r="O60"/>
      <c r="P60" s="2" t="b">
        <v>1</v>
      </c>
      <c r="Q60" s="12"/>
      <c r="R60"/>
      <c r="S60"/>
    </row>
    <row r="61" spans="1:19">
      <c r="A61" s="28" t="s">
        <v>1320</v>
      </c>
      <c r="B61" s="35" t="b">
        <v>1</v>
      </c>
      <c r="C61" s="5" t="s">
        <v>1392</v>
      </c>
      <c r="D61" s="2" t="s">
        <v>1401</v>
      </c>
      <c r="E61">
        <v>0</v>
      </c>
      <c r="F61" s="2" t="s">
        <v>471</v>
      </c>
      <c r="G61" s="2" t="s">
        <v>473</v>
      </c>
      <c r="H61" s="2" t="s">
        <v>473</v>
      </c>
      <c r="I61" s="2" t="s">
        <v>494</v>
      </c>
      <c r="P61" s="2" t="b">
        <v>1</v>
      </c>
    </row>
    <row r="62" spans="1:19">
      <c r="A62" s="28" t="s">
        <v>1395</v>
      </c>
      <c r="B62" s="35" t="b">
        <v>1</v>
      </c>
      <c r="C62" s="5" t="s">
        <v>1392</v>
      </c>
      <c r="D62" s="2" t="s">
        <v>1402</v>
      </c>
      <c r="E62">
        <v>0</v>
      </c>
      <c r="F62" s="2" t="s">
        <v>471</v>
      </c>
      <c r="G62" s="2" t="s">
        <v>473</v>
      </c>
      <c r="H62" s="2" t="s">
        <v>473</v>
      </c>
      <c r="I62" s="2" t="s">
        <v>494</v>
      </c>
      <c r="P62" s="2" t="b">
        <v>1</v>
      </c>
    </row>
    <row r="63" spans="1:19">
      <c r="A63" s="28" t="s">
        <v>1405</v>
      </c>
      <c r="B63" s="35" t="b">
        <v>1</v>
      </c>
      <c r="C63" s="6" t="s">
        <v>417</v>
      </c>
      <c r="D63" s="2" t="s">
        <v>1384</v>
      </c>
      <c r="E63">
        <v>0</v>
      </c>
      <c r="F63" s="2" t="s">
        <v>696</v>
      </c>
      <c r="G63" s="2" t="s">
        <v>499</v>
      </c>
      <c r="H63" s="2" t="s">
        <v>499</v>
      </c>
      <c r="I63" s="2" t="s">
        <v>495</v>
      </c>
      <c r="J63" s="2">
        <v>4</v>
      </c>
      <c r="K63" s="2"/>
      <c r="L63" s="2"/>
      <c r="M63" s="2"/>
      <c r="N63" s="2"/>
      <c r="O63" s="2"/>
      <c r="P63" s="2" t="b">
        <v>1</v>
      </c>
      <c r="S63" s="2"/>
    </row>
    <row r="64" spans="1:19">
      <c r="A64" s="28" t="s">
        <v>1405</v>
      </c>
      <c r="B64" s="35" t="b">
        <v>1</v>
      </c>
      <c r="C64" s="6" t="s">
        <v>417</v>
      </c>
      <c r="D64" s="2" t="s">
        <v>1385</v>
      </c>
      <c r="E64">
        <v>1</v>
      </c>
      <c r="F64" s="2" t="s">
        <v>696</v>
      </c>
      <c r="G64" s="2" t="s">
        <v>499</v>
      </c>
      <c r="H64" s="2" t="s">
        <v>499</v>
      </c>
      <c r="I64" s="2" t="s">
        <v>495</v>
      </c>
      <c r="J64" s="2">
        <v>0</v>
      </c>
      <c r="K64" s="2"/>
      <c r="L64" s="2"/>
      <c r="M64" s="2"/>
      <c r="N64" s="2"/>
      <c r="O64" s="2"/>
      <c r="P64" s="2" t="b">
        <v>1</v>
      </c>
      <c r="S64" s="2"/>
    </row>
    <row r="65" spans="1:19">
      <c r="A65" s="4" t="s">
        <v>1403</v>
      </c>
      <c r="B65" s="35" t="b">
        <v>1</v>
      </c>
      <c r="C65" s="5" t="s">
        <v>1392</v>
      </c>
      <c r="D65" s="2" t="s">
        <v>1404</v>
      </c>
      <c r="E65">
        <v>0</v>
      </c>
      <c r="F65" s="2" t="s">
        <v>471</v>
      </c>
      <c r="G65" s="2" t="s">
        <v>499</v>
      </c>
      <c r="H65" s="2" t="s">
        <v>499</v>
      </c>
      <c r="I65" s="2" t="s">
        <v>494</v>
      </c>
      <c r="P65" s="34" t="b">
        <v>0</v>
      </c>
    </row>
    <row r="66" spans="1:19">
      <c r="A66" s="9" t="s">
        <v>1403</v>
      </c>
      <c r="B66" s="35" t="b">
        <v>1</v>
      </c>
      <c r="C66" s="5" t="s">
        <v>1392</v>
      </c>
      <c r="D66" s="10" t="s">
        <v>476</v>
      </c>
      <c r="E66" s="11">
        <v>1</v>
      </c>
      <c r="F66" s="10" t="s">
        <v>472</v>
      </c>
      <c r="G66" s="10" t="s">
        <v>499</v>
      </c>
      <c r="H66" s="10" t="s">
        <v>476</v>
      </c>
      <c r="I66" s="10" t="s">
        <v>495</v>
      </c>
      <c r="J66" s="11">
        <v>0</v>
      </c>
      <c r="K66" s="11"/>
      <c r="L66" s="11"/>
      <c r="M66" s="11"/>
      <c r="N66" s="11"/>
      <c r="O66" s="11"/>
      <c r="P66" s="34" t="b">
        <v>0</v>
      </c>
      <c r="R66" s="11" t="s">
        <v>668</v>
      </c>
      <c r="S66" s="11"/>
    </row>
    <row r="67" spans="1:19">
      <c r="A67" s="28" t="s">
        <v>1334</v>
      </c>
      <c r="B67" s="35" t="b">
        <v>1</v>
      </c>
      <c r="C67" s="5" t="s">
        <v>360</v>
      </c>
      <c r="D67" s="2" t="s">
        <v>361</v>
      </c>
      <c r="E67">
        <v>0</v>
      </c>
      <c r="F67" s="2" t="s">
        <v>471</v>
      </c>
      <c r="G67" s="2" t="s">
        <v>473</v>
      </c>
      <c r="H67" s="2"/>
      <c r="I67" s="2" t="s">
        <v>494</v>
      </c>
      <c r="J67" s="2"/>
      <c r="K67" s="2"/>
      <c r="L67" s="2"/>
      <c r="M67" s="2"/>
      <c r="N67" s="2"/>
      <c r="O67" s="2"/>
      <c r="P67" s="2" t="b">
        <v>1</v>
      </c>
      <c r="Q67" t="s">
        <v>605</v>
      </c>
      <c r="S67" s="2"/>
    </row>
    <row r="68" spans="1:19">
      <c r="A68" s="28" t="s">
        <v>1335</v>
      </c>
      <c r="B68" s="35" t="b">
        <v>1</v>
      </c>
      <c r="C68" s="5" t="s">
        <v>360</v>
      </c>
      <c r="D68" s="2" t="s">
        <v>362</v>
      </c>
      <c r="E68">
        <v>0</v>
      </c>
      <c r="F68" s="2" t="s">
        <v>471</v>
      </c>
      <c r="G68" s="2" t="s">
        <v>473</v>
      </c>
      <c r="H68" s="2"/>
      <c r="I68" s="2" t="s">
        <v>494</v>
      </c>
      <c r="J68" s="2"/>
      <c r="K68" s="2"/>
      <c r="L68" s="2"/>
      <c r="M68" s="2"/>
      <c r="N68" s="2"/>
      <c r="O68" s="2"/>
      <c r="P68" s="2" t="b">
        <v>1</v>
      </c>
      <c r="Q68" s="13" t="s">
        <v>606</v>
      </c>
      <c r="S68" s="2"/>
    </row>
    <row r="69" spans="1:19">
      <c r="A69" s="28" t="s">
        <v>1336</v>
      </c>
      <c r="B69" s="35" t="b">
        <v>1</v>
      </c>
      <c r="C69" s="5" t="s">
        <v>360</v>
      </c>
      <c r="D69" s="2" t="s">
        <v>489</v>
      </c>
      <c r="E69">
        <v>0</v>
      </c>
      <c r="F69" s="2" t="s">
        <v>471</v>
      </c>
      <c r="G69" s="2" t="s">
        <v>473</v>
      </c>
      <c r="H69" s="2"/>
      <c r="I69" s="2" t="s">
        <v>494</v>
      </c>
      <c r="J69" s="2"/>
      <c r="K69" s="2"/>
      <c r="L69" s="2"/>
      <c r="M69" s="2"/>
      <c r="N69" s="2"/>
      <c r="O69" s="2"/>
      <c r="P69" s="34" t="b">
        <v>0</v>
      </c>
      <c r="Q69" s="13" t="s">
        <v>607</v>
      </c>
      <c r="S69" s="2"/>
    </row>
    <row r="70" spans="1:19">
      <c r="A70" s="28" t="s">
        <v>1336</v>
      </c>
      <c r="B70" s="35" t="b">
        <v>1</v>
      </c>
      <c r="C70" s="32" t="s">
        <v>360</v>
      </c>
      <c r="D70" s="2" t="s">
        <v>363</v>
      </c>
      <c r="E70">
        <v>1</v>
      </c>
      <c r="F70" s="2" t="s">
        <v>474</v>
      </c>
      <c r="G70" s="2" t="s">
        <v>473</v>
      </c>
      <c r="H70" t="s">
        <v>364</v>
      </c>
      <c r="I70" t="s">
        <v>364</v>
      </c>
      <c r="M70" t="s">
        <v>905</v>
      </c>
      <c r="P70" s="34" t="b">
        <v>0</v>
      </c>
      <c r="Q70" s="13" t="s">
        <v>607</v>
      </c>
      <c r="R70" t="s">
        <v>364</v>
      </c>
      <c r="S70" s="2" t="s">
        <v>497</v>
      </c>
    </row>
    <row r="71" spans="1:19">
      <c r="A71" s="28" t="s">
        <v>1337</v>
      </c>
      <c r="B71" s="35" t="b">
        <v>1</v>
      </c>
      <c r="C71" s="5" t="s">
        <v>360</v>
      </c>
      <c r="D71" s="2" t="s">
        <v>366</v>
      </c>
      <c r="E71">
        <v>0</v>
      </c>
      <c r="F71" s="2" t="s">
        <v>471</v>
      </c>
      <c r="G71" s="2" t="s">
        <v>473</v>
      </c>
      <c r="H71" s="2" t="s">
        <v>473</v>
      </c>
      <c r="I71" s="2" t="s">
        <v>494</v>
      </c>
      <c r="J71" s="2"/>
      <c r="K71" s="2"/>
      <c r="L71" s="2"/>
      <c r="M71" s="2"/>
      <c r="N71" s="2"/>
      <c r="O71" s="2"/>
      <c r="P71" s="2" t="b">
        <v>1</v>
      </c>
      <c r="Q71" s="12" t="s">
        <v>609</v>
      </c>
      <c r="S71" s="2" t="s">
        <v>473</v>
      </c>
    </row>
    <row r="72" spans="1:19">
      <c r="A72" s="28" t="s">
        <v>1338</v>
      </c>
      <c r="B72" s="35" t="b">
        <v>1</v>
      </c>
      <c r="C72" s="5" t="s">
        <v>360</v>
      </c>
      <c r="D72" s="2" t="s">
        <v>367</v>
      </c>
      <c r="E72">
        <v>0</v>
      </c>
      <c r="F72" s="2" t="s">
        <v>471</v>
      </c>
      <c r="G72" s="2" t="s">
        <v>473</v>
      </c>
      <c r="H72" s="2" t="s">
        <v>473</v>
      </c>
      <c r="I72" s="2" t="s">
        <v>494</v>
      </c>
      <c r="J72" s="2"/>
      <c r="K72" s="2"/>
      <c r="L72" s="2"/>
      <c r="M72" s="2"/>
      <c r="N72" s="2"/>
      <c r="O72" s="2"/>
      <c r="P72" s="2" t="b">
        <v>1</v>
      </c>
      <c r="Q72" s="13" t="s">
        <v>608</v>
      </c>
      <c r="S72" s="2" t="s">
        <v>473</v>
      </c>
    </row>
    <row r="73" spans="1:19">
      <c r="A73" s="28" t="s">
        <v>1339</v>
      </c>
      <c r="B73" s="35" t="b">
        <v>1</v>
      </c>
      <c r="C73" s="5" t="s">
        <v>360</v>
      </c>
      <c r="D73" s="2" t="s">
        <v>368</v>
      </c>
      <c r="E73">
        <v>0</v>
      </c>
      <c r="F73" s="2" t="s">
        <v>471</v>
      </c>
      <c r="G73" s="2" t="s">
        <v>473</v>
      </c>
      <c r="H73" s="2" t="s">
        <v>664</v>
      </c>
      <c r="I73" s="2" t="s">
        <v>494</v>
      </c>
      <c r="J73" s="2"/>
      <c r="K73" s="2"/>
      <c r="L73" s="2"/>
      <c r="M73" s="2"/>
      <c r="N73" s="2"/>
      <c r="O73" s="2"/>
      <c r="P73" s="2" t="b">
        <v>1</v>
      </c>
      <c r="Q73" s="13" t="s">
        <v>610</v>
      </c>
      <c r="R73" t="s">
        <v>370</v>
      </c>
      <c r="S73" s="2" t="s">
        <v>473</v>
      </c>
    </row>
    <row r="74" spans="1:19">
      <c r="A74" s="28" t="s">
        <v>1340</v>
      </c>
      <c r="B74" s="35" t="b">
        <v>1</v>
      </c>
      <c r="C74" s="5" t="s">
        <v>360</v>
      </c>
      <c r="D74" s="2" t="s">
        <v>369</v>
      </c>
      <c r="E74">
        <v>0</v>
      </c>
      <c r="F74" s="2" t="s">
        <v>471</v>
      </c>
      <c r="G74" s="2" t="s">
        <v>473</v>
      </c>
      <c r="H74" s="2" t="s">
        <v>664</v>
      </c>
      <c r="I74" s="2" t="s">
        <v>494</v>
      </c>
      <c r="J74" s="2"/>
      <c r="K74" s="2"/>
      <c r="L74" s="2"/>
      <c r="M74" s="2"/>
      <c r="N74" s="2"/>
      <c r="O74" s="2"/>
      <c r="P74" s="2" t="b">
        <v>1</v>
      </c>
      <c r="Q74" s="13" t="s">
        <v>611</v>
      </c>
      <c r="R74" t="s">
        <v>370</v>
      </c>
      <c r="S74" s="2" t="s">
        <v>473</v>
      </c>
    </row>
    <row r="75" spans="1:19">
      <c r="A75" s="21" t="s">
        <v>1341</v>
      </c>
      <c r="B75" s="35" t="b">
        <v>1</v>
      </c>
      <c r="C75" s="5" t="s">
        <v>360</v>
      </c>
      <c r="D75" s="2" t="s">
        <v>371</v>
      </c>
      <c r="E75">
        <v>0</v>
      </c>
      <c r="F75" s="2" t="s">
        <v>471</v>
      </c>
      <c r="G75" s="2" t="s">
        <v>473</v>
      </c>
      <c r="H75" s="2" t="s">
        <v>473</v>
      </c>
      <c r="I75" s="2" t="s">
        <v>494</v>
      </c>
      <c r="J75" s="2"/>
      <c r="K75" s="2"/>
      <c r="L75" s="2"/>
      <c r="M75" s="2"/>
      <c r="N75" s="2"/>
      <c r="O75" s="2"/>
      <c r="P75" s="2" t="b">
        <v>1</v>
      </c>
      <c r="Q75" s="13" t="s">
        <v>612</v>
      </c>
      <c r="S75" s="2" t="s">
        <v>473</v>
      </c>
    </row>
    <row r="76" spans="1:19">
      <c r="A76" s="21" t="s">
        <v>1342</v>
      </c>
      <c r="B76" s="35" t="b">
        <v>1</v>
      </c>
      <c r="C76" s="5" t="s">
        <v>360</v>
      </c>
      <c r="D76" s="2" t="s">
        <v>372</v>
      </c>
      <c r="E76">
        <v>0</v>
      </c>
      <c r="F76" s="2" t="s">
        <v>471</v>
      </c>
      <c r="G76" s="2" t="s">
        <v>473</v>
      </c>
      <c r="H76" s="2" t="s">
        <v>664</v>
      </c>
      <c r="I76" s="2" t="s">
        <v>494</v>
      </c>
      <c r="J76" s="2"/>
      <c r="K76" s="2"/>
      <c r="L76" s="2"/>
      <c r="M76" s="2"/>
      <c r="N76" s="2"/>
      <c r="O76" s="2"/>
      <c r="P76" s="2" t="b">
        <v>1</v>
      </c>
      <c r="Q76" s="13" t="s">
        <v>613</v>
      </c>
      <c r="R76" t="s">
        <v>370</v>
      </c>
      <c r="S76" s="2" t="s">
        <v>473</v>
      </c>
    </row>
    <row r="77" spans="1:19">
      <c r="A77" s="21" t="s">
        <v>1343</v>
      </c>
      <c r="B77" s="35" t="b">
        <v>1</v>
      </c>
      <c r="C77" s="5" t="s">
        <v>360</v>
      </c>
      <c r="D77" s="2" t="s">
        <v>373</v>
      </c>
      <c r="E77">
        <v>0</v>
      </c>
      <c r="F77" s="2" t="s">
        <v>471</v>
      </c>
      <c r="G77" s="2" t="s">
        <v>473</v>
      </c>
      <c r="H77" s="2" t="s">
        <v>473</v>
      </c>
      <c r="I77" s="2" t="s">
        <v>494</v>
      </c>
      <c r="J77" s="2"/>
      <c r="K77" s="2"/>
      <c r="L77" s="2"/>
      <c r="M77" s="2"/>
      <c r="N77" s="2"/>
      <c r="O77" s="2"/>
      <c r="P77" s="2" t="b">
        <v>1</v>
      </c>
      <c r="Q77" s="13" t="s">
        <v>614</v>
      </c>
      <c r="S77" s="2" t="s">
        <v>473</v>
      </c>
    </row>
    <row r="78" spans="1:19">
      <c r="A78" s="21" t="s">
        <v>1344</v>
      </c>
      <c r="B78" s="35" t="b">
        <v>1</v>
      </c>
      <c r="C78" s="5" t="s">
        <v>360</v>
      </c>
      <c r="D78" s="2" t="s">
        <v>374</v>
      </c>
      <c r="E78">
        <v>0</v>
      </c>
      <c r="F78" s="2" t="s">
        <v>471</v>
      </c>
      <c r="G78" s="2" t="s">
        <v>473</v>
      </c>
      <c r="H78" s="2" t="s">
        <v>473</v>
      </c>
      <c r="I78" s="2" t="s">
        <v>494</v>
      </c>
      <c r="J78" s="2"/>
      <c r="K78" s="2"/>
      <c r="L78" s="2"/>
      <c r="M78" s="2"/>
      <c r="N78" s="2"/>
      <c r="O78" s="2"/>
      <c r="P78" s="2" t="b">
        <v>1</v>
      </c>
      <c r="Q78" s="13" t="s">
        <v>615</v>
      </c>
      <c r="S78" s="2" t="s">
        <v>473</v>
      </c>
    </row>
    <row r="79" spans="1:19">
      <c r="A79" s="21" t="s">
        <v>1345</v>
      </c>
      <c r="B79" s="35" t="b">
        <v>1</v>
      </c>
      <c r="C79" s="5" t="s">
        <v>360</v>
      </c>
      <c r="D79" s="2" t="s">
        <v>375</v>
      </c>
      <c r="E79">
        <v>0</v>
      </c>
      <c r="F79" s="2" t="s">
        <v>471</v>
      </c>
      <c r="G79" s="2" t="s">
        <v>473</v>
      </c>
      <c r="H79" s="2" t="s">
        <v>473</v>
      </c>
      <c r="I79" s="2" t="s">
        <v>494</v>
      </c>
      <c r="J79" s="2"/>
      <c r="K79" s="2"/>
      <c r="L79" s="2"/>
      <c r="M79" s="2"/>
      <c r="N79" s="2"/>
      <c r="O79" s="2"/>
      <c r="P79" s="2" t="b">
        <v>1</v>
      </c>
      <c r="Q79" s="13">
        <v>13603082895</v>
      </c>
      <c r="S79" s="2" t="s">
        <v>473</v>
      </c>
    </row>
    <row r="80" spans="1:19">
      <c r="A80" s="21" t="s">
        <v>1346</v>
      </c>
      <c r="B80" s="35" t="b">
        <v>1</v>
      </c>
      <c r="C80" s="5" t="s">
        <v>360</v>
      </c>
      <c r="D80" s="2" t="s">
        <v>376</v>
      </c>
      <c r="E80">
        <v>0</v>
      </c>
      <c r="F80" s="2" t="s">
        <v>471</v>
      </c>
      <c r="G80" s="2" t="s">
        <v>473</v>
      </c>
      <c r="H80" s="2" t="s">
        <v>473</v>
      </c>
      <c r="I80" s="2" t="s">
        <v>494</v>
      </c>
      <c r="J80" s="2"/>
      <c r="K80" s="2"/>
      <c r="L80" s="2"/>
      <c r="M80" s="2"/>
      <c r="N80" s="2"/>
      <c r="O80" s="2"/>
      <c r="P80" s="2" t="b">
        <v>1</v>
      </c>
      <c r="Q80" s="13" t="s">
        <v>616</v>
      </c>
      <c r="S80" s="2" t="s">
        <v>473</v>
      </c>
    </row>
    <row r="81" spans="1:19">
      <c r="A81" s="21" t="s">
        <v>1347</v>
      </c>
      <c r="B81" s="35" t="b">
        <v>1</v>
      </c>
      <c r="C81" s="5" t="s">
        <v>360</v>
      </c>
      <c r="D81" s="2" t="s">
        <v>377</v>
      </c>
      <c r="E81">
        <v>0</v>
      </c>
      <c r="F81" s="2" t="s">
        <v>471</v>
      </c>
      <c r="G81" s="2" t="s">
        <v>473</v>
      </c>
      <c r="H81" s="2" t="s">
        <v>473</v>
      </c>
      <c r="I81" s="2" t="s">
        <v>494</v>
      </c>
      <c r="J81" s="2"/>
      <c r="K81" s="2"/>
      <c r="L81" s="2"/>
      <c r="M81" s="2"/>
      <c r="N81" s="2"/>
      <c r="O81" s="2"/>
      <c r="P81" s="2" t="b">
        <v>1</v>
      </c>
      <c r="Q81" s="13" t="s">
        <v>612</v>
      </c>
      <c r="S81" s="2" t="s">
        <v>473</v>
      </c>
    </row>
    <row r="82" spans="1:19">
      <c r="A82" s="21" t="s">
        <v>1388</v>
      </c>
      <c r="B82" s="35" t="b">
        <v>1</v>
      </c>
      <c r="C82" s="5" t="s">
        <v>360</v>
      </c>
      <c r="D82" s="2" t="s">
        <v>378</v>
      </c>
      <c r="E82">
        <v>0</v>
      </c>
      <c r="F82" s="2" t="s">
        <v>471</v>
      </c>
      <c r="G82" s="2" t="s">
        <v>473</v>
      </c>
      <c r="H82" s="2" t="s">
        <v>473</v>
      </c>
      <c r="I82" s="2" t="s">
        <v>494</v>
      </c>
      <c r="J82" s="2"/>
      <c r="K82" s="2"/>
      <c r="L82" s="2"/>
      <c r="M82" s="2"/>
      <c r="N82" s="2"/>
      <c r="O82" s="2"/>
      <c r="P82" s="2" t="b">
        <v>1</v>
      </c>
      <c r="Q82" s="13" t="s">
        <v>615</v>
      </c>
      <c r="S82" s="2" t="s">
        <v>473</v>
      </c>
    </row>
    <row r="83" spans="1:19">
      <c r="A83" s="21" t="s">
        <v>1389</v>
      </c>
      <c r="B83" s="35" t="b">
        <v>1</v>
      </c>
      <c r="C83" s="5" t="s">
        <v>360</v>
      </c>
      <c r="D83" s="2" t="s">
        <v>379</v>
      </c>
      <c r="E83">
        <v>0</v>
      </c>
      <c r="F83" s="2" t="s">
        <v>471</v>
      </c>
      <c r="G83" s="2" t="s">
        <v>473</v>
      </c>
      <c r="H83" s="2" t="s">
        <v>473</v>
      </c>
      <c r="I83" s="2" t="s">
        <v>494</v>
      </c>
      <c r="J83" s="2"/>
      <c r="K83" s="2"/>
      <c r="L83" s="2"/>
      <c r="M83" s="2"/>
      <c r="N83" s="2"/>
      <c r="O83" s="2"/>
      <c r="P83" s="2" t="b">
        <v>1</v>
      </c>
      <c r="Q83" s="13">
        <v>13603082895</v>
      </c>
      <c r="S83" s="2" t="s">
        <v>473</v>
      </c>
    </row>
    <row r="84" spans="1:19">
      <c r="A84" s="21" t="s">
        <v>1390</v>
      </c>
      <c r="B84" s="35" t="b">
        <v>1</v>
      </c>
      <c r="C84" s="5" t="s">
        <v>360</v>
      </c>
      <c r="D84" s="2" t="s">
        <v>380</v>
      </c>
      <c r="E84">
        <v>0</v>
      </c>
      <c r="F84" s="2" t="s">
        <v>471</v>
      </c>
      <c r="G84" s="2" t="s">
        <v>473</v>
      </c>
      <c r="H84" s="2" t="s">
        <v>473</v>
      </c>
      <c r="I84" s="2" t="s">
        <v>494</v>
      </c>
      <c r="J84" s="2"/>
      <c r="K84" s="2"/>
      <c r="L84" s="2"/>
      <c r="M84" s="2"/>
      <c r="N84" s="2"/>
      <c r="O84" s="2"/>
      <c r="P84" s="2" t="b">
        <v>1</v>
      </c>
      <c r="Q84" s="13" t="s">
        <v>616</v>
      </c>
      <c r="S84" s="2" t="s">
        <v>473</v>
      </c>
    </row>
    <row r="85" spans="1:19">
      <c r="A85" s="21" t="s">
        <v>1348</v>
      </c>
      <c r="B85" s="35" t="b">
        <v>1</v>
      </c>
      <c r="C85" s="5" t="s">
        <v>360</v>
      </c>
      <c r="D85" s="2" t="s">
        <v>381</v>
      </c>
      <c r="E85">
        <v>0</v>
      </c>
      <c r="F85" s="2" t="s">
        <v>471</v>
      </c>
      <c r="G85" s="2" t="s">
        <v>473</v>
      </c>
      <c r="H85" s="2" t="s">
        <v>473</v>
      </c>
      <c r="I85" s="2" t="s">
        <v>494</v>
      </c>
      <c r="J85" s="2"/>
      <c r="K85" s="2"/>
      <c r="L85" s="2"/>
      <c r="M85" s="2"/>
      <c r="N85" s="2"/>
      <c r="O85" s="2"/>
      <c r="P85" s="2" t="b">
        <v>1</v>
      </c>
      <c r="Q85" s="13" t="s">
        <v>398</v>
      </c>
      <c r="S85" s="2" t="s">
        <v>473</v>
      </c>
    </row>
    <row r="86" spans="1:19">
      <c r="A86" s="28" t="s">
        <v>1349</v>
      </c>
      <c r="B86" s="35" t="b">
        <v>1</v>
      </c>
      <c r="C86" s="5" t="s">
        <v>360</v>
      </c>
      <c r="D86" s="2" t="s">
        <v>382</v>
      </c>
      <c r="E86">
        <v>0</v>
      </c>
      <c r="F86" s="2" t="s">
        <v>471</v>
      </c>
      <c r="G86" s="2" t="s">
        <v>473</v>
      </c>
      <c r="H86" s="2" t="s">
        <v>664</v>
      </c>
      <c r="I86" s="2" t="s">
        <v>494</v>
      </c>
      <c r="J86" s="2"/>
      <c r="K86" s="2"/>
      <c r="L86" s="2"/>
      <c r="M86" s="2"/>
      <c r="N86" s="2"/>
      <c r="O86" s="2"/>
      <c r="P86" s="2" t="b">
        <v>1</v>
      </c>
      <c r="Q86" s="13" t="s">
        <v>617</v>
      </c>
      <c r="R86" t="s">
        <v>370</v>
      </c>
      <c r="S86" s="2" t="s">
        <v>473</v>
      </c>
    </row>
    <row r="87" spans="1:19">
      <c r="A87" s="28" t="s">
        <v>1351</v>
      </c>
      <c r="B87" s="35" t="b">
        <v>1</v>
      </c>
      <c r="C87" s="5" t="s">
        <v>360</v>
      </c>
      <c r="D87" s="2" t="s">
        <v>383</v>
      </c>
      <c r="E87">
        <v>0</v>
      </c>
      <c r="F87" s="2" t="s">
        <v>471</v>
      </c>
      <c r="G87" s="2" t="s">
        <v>473</v>
      </c>
      <c r="H87" s="2" t="s">
        <v>664</v>
      </c>
      <c r="I87" s="2" t="s">
        <v>494</v>
      </c>
      <c r="J87" s="2"/>
      <c r="K87" s="2"/>
      <c r="L87" s="2"/>
      <c r="M87" s="2"/>
      <c r="N87" s="2"/>
      <c r="O87" s="2"/>
      <c r="P87" s="2" t="b">
        <v>1</v>
      </c>
      <c r="Q87" s="13" t="s">
        <v>618</v>
      </c>
      <c r="S87" s="2" t="s">
        <v>473</v>
      </c>
    </row>
    <row r="88" spans="1:19">
      <c r="A88" s="28" t="s">
        <v>1350</v>
      </c>
      <c r="B88" s="35" t="b">
        <v>1</v>
      </c>
      <c r="C88" s="5" t="s">
        <v>360</v>
      </c>
      <c r="D88" s="2" t="s">
        <v>384</v>
      </c>
      <c r="E88">
        <v>0</v>
      </c>
      <c r="F88" s="2" t="s">
        <v>471</v>
      </c>
      <c r="G88" s="2" t="s">
        <v>473</v>
      </c>
      <c r="H88" s="2" t="s">
        <v>664</v>
      </c>
      <c r="I88" s="2" t="s">
        <v>494</v>
      </c>
      <c r="J88" s="2"/>
      <c r="K88" s="2"/>
      <c r="L88" s="2"/>
      <c r="M88" s="2"/>
      <c r="N88" s="2"/>
      <c r="O88" s="2"/>
      <c r="P88" s="2" t="b">
        <v>1</v>
      </c>
      <c r="Q88" s="13" t="s">
        <v>618</v>
      </c>
      <c r="S88" s="2" t="s">
        <v>473</v>
      </c>
    </row>
    <row r="89" spans="1:19">
      <c r="A89" s="28" t="s">
        <v>1391</v>
      </c>
      <c r="B89" s="35" t="b">
        <v>1</v>
      </c>
      <c r="C89" s="5" t="s">
        <v>360</v>
      </c>
      <c r="D89" s="2" t="s">
        <v>385</v>
      </c>
      <c r="E89">
        <v>0</v>
      </c>
      <c r="F89" s="2" t="s">
        <v>471</v>
      </c>
      <c r="G89" s="2" t="s">
        <v>473</v>
      </c>
      <c r="H89" s="2" t="s">
        <v>664</v>
      </c>
      <c r="I89" s="2" t="s">
        <v>494</v>
      </c>
      <c r="J89" s="2"/>
      <c r="K89" s="2"/>
      <c r="L89" s="2"/>
      <c r="M89" s="2"/>
      <c r="N89" s="2"/>
      <c r="O89" s="2"/>
      <c r="P89" s="34" t="b">
        <v>0</v>
      </c>
      <c r="Q89" s="13" t="s">
        <v>619</v>
      </c>
      <c r="S89" s="2" t="s">
        <v>473</v>
      </c>
    </row>
    <row r="90" spans="1:19">
      <c r="A90" s="28" t="s">
        <v>1352</v>
      </c>
      <c r="B90" s="35" t="b">
        <v>1</v>
      </c>
      <c r="C90" s="5" t="s">
        <v>360</v>
      </c>
      <c r="D90" s="2" t="s">
        <v>386</v>
      </c>
      <c r="E90">
        <v>0</v>
      </c>
      <c r="F90" s="2" t="s">
        <v>471</v>
      </c>
      <c r="G90" s="2" t="s">
        <v>473</v>
      </c>
      <c r="H90" s="2" t="s">
        <v>664</v>
      </c>
      <c r="I90" s="2" t="s">
        <v>494</v>
      </c>
      <c r="J90" s="2"/>
      <c r="K90" s="2"/>
      <c r="L90" s="2"/>
      <c r="M90" s="2"/>
      <c r="N90" s="2"/>
      <c r="O90" s="2"/>
      <c r="P90" s="2" t="b">
        <v>1</v>
      </c>
      <c r="Q90" s="13" t="s">
        <v>620</v>
      </c>
      <c r="S90" s="2" t="s">
        <v>473</v>
      </c>
    </row>
    <row r="91" spans="1:19">
      <c r="A91" s="28" t="s">
        <v>1353</v>
      </c>
      <c r="B91" s="35" t="b">
        <v>1</v>
      </c>
      <c r="C91" s="5" t="s">
        <v>360</v>
      </c>
      <c r="D91" s="2" t="s">
        <v>387</v>
      </c>
      <c r="E91">
        <v>0</v>
      </c>
      <c r="F91" s="2" t="s">
        <v>471</v>
      </c>
      <c r="G91" s="2" t="s">
        <v>473</v>
      </c>
      <c r="H91" s="2" t="s">
        <v>664</v>
      </c>
      <c r="I91" s="2" t="s">
        <v>494</v>
      </c>
      <c r="J91" s="2"/>
      <c r="K91" s="2"/>
      <c r="L91" s="2"/>
      <c r="M91" s="2"/>
      <c r="N91" s="2"/>
      <c r="O91" s="2"/>
      <c r="P91" s="2" t="b">
        <v>1</v>
      </c>
      <c r="Q91" s="13" t="s">
        <v>597</v>
      </c>
      <c r="S91" s="2" t="s">
        <v>473</v>
      </c>
    </row>
    <row r="92" spans="1:19">
      <c r="A92" s="28" t="s">
        <v>1354</v>
      </c>
      <c r="B92" s="35" t="b">
        <v>1</v>
      </c>
      <c r="C92" s="5" t="s">
        <v>360</v>
      </c>
      <c r="D92" s="2" t="s">
        <v>388</v>
      </c>
      <c r="E92">
        <v>0</v>
      </c>
      <c r="F92" s="2" t="s">
        <v>471</v>
      </c>
      <c r="G92" s="2" t="s">
        <v>473</v>
      </c>
      <c r="H92" s="2" t="s">
        <v>473</v>
      </c>
      <c r="I92" s="2" t="s">
        <v>494</v>
      </c>
      <c r="J92" s="2"/>
      <c r="K92" s="2"/>
      <c r="L92" s="2"/>
      <c r="M92" s="2"/>
      <c r="N92" s="2"/>
      <c r="O92" s="2"/>
      <c r="P92" s="2" t="b">
        <v>1</v>
      </c>
      <c r="Q92" s="13" t="s">
        <v>622</v>
      </c>
      <c r="S92" s="2" t="s">
        <v>473</v>
      </c>
    </row>
    <row r="93" spans="1:19">
      <c r="A93" s="28" t="s">
        <v>1355</v>
      </c>
      <c r="B93" s="35" t="b">
        <v>1</v>
      </c>
      <c r="C93" s="5" t="s">
        <v>360</v>
      </c>
      <c r="D93" s="2" t="s">
        <v>389</v>
      </c>
      <c r="E93">
        <v>0</v>
      </c>
      <c r="F93" s="2" t="s">
        <v>471</v>
      </c>
      <c r="G93" s="2" t="s">
        <v>473</v>
      </c>
      <c r="H93" s="2" t="s">
        <v>473</v>
      </c>
      <c r="I93" s="2" t="s">
        <v>494</v>
      </c>
      <c r="J93" s="2"/>
      <c r="K93" s="2"/>
      <c r="L93" s="2"/>
      <c r="M93" s="2"/>
      <c r="N93" s="2"/>
      <c r="O93" s="2"/>
      <c r="P93" s="2" t="b">
        <v>1</v>
      </c>
      <c r="Q93" s="13" t="s">
        <v>623</v>
      </c>
      <c r="S93" s="2" t="s">
        <v>473</v>
      </c>
    </row>
    <row r="94" spans="1:19">
      <c r="A94" s="28" t="s">
        <v>1356</v>
      </c>
      <c r="B94" s="35" t="b">
        <v>1</v>
      </c>
      <c r="C94" s="5" t="s">
        <v>360</v>
      </c>
      <c r="D94" s="2" t="s">
        <v>390</v>
      </c>
      <c r="E94">
        <v>0</v>
      </c>
      <c r="F94" s="2" t="s">
        <v>471</v>
      </c>
      <c r="G94" s="2" t="s">
        <v>473</v>
      </c>
      <c r="H94" s="2" t="s">
        <v>473</v>
      </c>
      <c r="I94" s="2" t="s">
        <v>494</v>
      </c>
      <c r="J94" s="2"/>
      <c r="K94" s="2"/>
      <c r="L94" s="2"/>
      <c r="M94" s="2"/>
      <c r="N94" s="2"/>
      <c r="O94" s="2"/>
      <c r="P94" s="2" t="b">
        <v>1</v>
      </c>
      <c r="Q94" s="13" t="s">
        <v>624</v>
      </c>
      <c r="S94" s="2" t="s">
        <v>473</v>
      </c>
    </row>
    <row r="95" spans="1:19">
      <c r="A95" s="28" t="s">
        <v>1357</v>
      </c>
      <c r="B95" s="35" t="b">
        <v>1</v>
      </c>
      <c r="C95" s="5" t="s">
        <v>360</v>
      </c>
      <c r="D95" s="2" t="s">
        <v>391</v>
      </c>
      <c r="E95">
        <v>0</v>
      </c>
      <c r="F95" s="2" t="s">
        <v>471</v>
      </c>
      <c r="G95" s="2" t="s">
        <v>473</v>
      </c>
      <c r="H95" s="2" t="s">
        <v>473</v>
      </c>
      <c r="I95" s="2" t="s">
        <v>494</v>
      </c>
      <c r="J95" s="2"/>
      <c r="K95" s="2"/>
      <c r="L95" s="2"/>
      <c r="M95" s="2"/>
      <c r="N95" s="2"/>
      <c r="O95" s="2"/>
      <c r="P95" s="2" t="b">
        <v>1</v>
      </c>
      <c r="Q95" s="13" t="s">
        <v>625</v>
      </c>
      <c r="S95" s="2" t="s">
        <v>473</v>
      </c>
    </row>
    <row r="96" spans="1:19">
      <c r="A96" s="28" t="s">
        <v>1358</v>
      </c>
      <c r="B96" s="35" t="b">
        <v>1</v>
      </c>
      <c r="C96" s="5" t="s">
        <v>360</v>
      </c>
      <c r="D96" s="2" t="s">
        <v>392</v>
      </c>
      <c r="E96">
        <v>0</v>
      </c>
      <c r="F96" s="2" t="s">
        <v>471</v>
      </c>
      <c r="G96" s="2" t="s">
        <v>473</v>
      </c>
      <c r="H96" s="2" t="s">
        <v>473</v>
      </c>
      <c r="I96" s="2" t="s">
        <v>494</v>
      </c>
      <c r="J96" s="2"/>
      <c r="K96" s="2"/>
      <c r="L96" s="2"/>
      <c r="M96" s="2"/>
      <c r="N96" s="2"/>
      <c r="O96" s="2"/>
      <c r="P96" s="2" t="b">
        <v>1</v>
      </c>
      <c r="Q96" s="13" t="s">
        <v>626</v>
      </c>
      <c r="S96" s="2" t="s">
        <v>473</v>
      </c>
    </row>
    <row r="97" spans="1:19">
      <c r="A97" s="28" t="s">
        <v>1359</v>
      </c>
      <c r="B97" s="35" t="b">
        <v>1</v>
      </c>
      <c r="C97" s="5" t="s">
        <v>360</v>
      </c>
      <c r="D97" s="2" t="s">
        <v>393</v>
      </c>
      <c r="E97">
        <v>0</v>
      </c>
      <c r="F97" s="2" t="s">
        <v>471</v>
      </c>
      <c r="G97" s="2" t="s">
        <v>473</v>
      </c>
      <c r="H97" s="2" t="s">
        <v>473</v>
      </c>
      <c r="I97" s="2" t="s">
        <v>494</v>
      </c>
      <c r="J97" s="2"/>
      <c r="K97" s="2"/>
      <c r="L97" s="2"/>
      <c r="M97" s="2"/>
      <c r="N97" s="2"/>
      <c r="O97" s="2"/>
      <c r="P97" s="2" t="b">
        <v>1</v>
      </c>
      <c r="Q97" s="13" t="s">
        <v>627</v>
      </c>
      <c r="S97" s="2" t="s">
        <v>473</v>
      </c>
    </row>
    <row r="98" spans="1:19">
      <c r="A98" s="28" t="s">
        <v>1360</v>
      </c>
      <c r="B98" s="35" t="b">
        <v>1</v>
      </c>
      <c r="C98" s="5" t="s">
        <v>360</v>
      </c>
      <c r="D98" s="2" t="s">
        <v>489</v>
      </c>
      <c r="E98">
        <v>0</v>
      </c>
      <c r="F98" s="8" t="s">
        <v>471</v>
      </c>
      <c r="G98" s="2" t="s">
        <v>473</v>
      </c>
      <c r="H98" s="7"/>
      <c r="I98" s="2" t="s">
        <v>494</v>
      </c>
      <c r="J98" s="2"/>
      <c r="K98" s="2"/>
      <c r="L98" s="2"/>
      <c r="M98" s="2"/>
      <c r="N98" s="2"/>
      <c r="O98" s="2"/>
      <c r="P98" s="34" t="b">
        <v>0</v>
      </c>
      <c r="Q98" s="13" t="s">
        <v>621</v>
      </c>
      <c r="R98">
        <v>1</v>
      </c>
      <c r="S98" s="2" t="s">
        <v>497</v>
      </c>
    </row>
    <row r="99" spans="1:19">
      <c r="A99" s="28" t="s">
        <v>1360</v>
      </c>
      <c r="B99" s="35" t="b">
        <v>1</v>
      </c>
      <c r="C99" s="32" t="s">
        <v>360</v>
      </c>
      <c r="D99" s="8" t="s">
        <v>394</v>
      </c>
      <c r="E99">
        <v>1</v>
      </c>
      <c r="F99" s="8" t="s">
        <v>474</v>
      </c>
      <c r="G99" s="7" t="s">
        <v>364</v>
      </c>
      <c r="H99" s="7" t="s">
        <v>364</v>
      </c>
      <c r="I99" s="7" t="s">
        <v>364</v>
      </c>
      <c r="J99" s="2"/>
      <c r="K99" s="2"/>
      <c r="L99" s="2"/>
      <c r="M99" t="s">
        <v>905</v>
      </c>
      <c r="N99" s="2"/>
      <c r="O99" s="2"/>
      <c r="P99" s="34" t="b">
        <v>0</v>
      </c>
      <c r="Q99" s="13" t="s">
        <v>621</v>
      </c>
      <c r="R99">
        <v>1</v>
      </c>
      <c r="S99" s="2" t="s">
        <v>497</v>
      </c>
    </row>
    <row r="100" spans="1:19">
      <c r="A100" s="28" t="s">
        <v>1361</v>
      </c>
      <c r="B100" s="35" t="b">
        <v>1</v>
      </c>
      <c r="C100" s="5" t="s">
        <v>360</v>
      </c>
      <c r="D100" s="2" t="s">
        <v>396</v>
      </c>
      <c r="E100">
        <v>0</v>
      </c>
      <c r="F100" s="2" t="s">
        <v>471</v>
      </c>
      <c r="G100" s="2" t="s">
        <v>473</v>
      </c>
      <c r="H100" s="2" t="s">
        <v>664</v>
      </c>
      <c r="I100" s="2" t="s">
        <v>494</v>
      </c>
      <c r="J100" s="2"/>
      <c r="K100" s="2"/>
      <c r="L100" s="2"/>
      <c r="M100" s="2"/>
      <c r="N100" s="2"/>
      <c r="O100" s="2"/>
      <c r="P100" s="2" t="b">
        <v>1</v>
      </c>
      <c r="Q100" s="12" t="s">
        <v>597</v>
      </c>
      <c r="R100" t="s">
        <v>395</v>
      </c>
      <c r="S100" s="2" t="s">
        <v>473</v>
      </c>
    </row>
    <row r="101" spans="1:19">
      <c r="A101" s="28" t="s">
        <v>1362</v>
      </c>
      <c r="B101" s="35" t="b">
        <v>1</v>
      </c>
      <c r="C101" s="5" t="s">
        <v>360</v>
      </c>
      <c r="D101" s="2" t="s">
        <v>397</v>
      </c>
      <c r="E101">
        <v>0</v>
      </c>
      <c r="F101" s="2" t="s">
        <v>471</v>
      </c>
      <c r="G101" s="2" t="s">
        <v>473</v>
      </c>
      <c r="H101" s="2" t="s">
        <v>473</v>
      </c>
      <c r="I101" s="2" t="s">
        <v>494</v>
      </c>
      <c r="J101" s="2"/>
      <c r="K101" s="2"/>
      <c r="L101" s="2"/>
      <c r="M101" s="2"/>
      <c r="N101" s="2"/>
      <c r="O101" s="2"/>
      <c r="P101" s="2" t="b">
        <v>1</v>
      </c>
      <c r="Q101" s="12" t="s">
        <v>398</v>
      </c>
      <c r="R101" t="s">
        <v>398</v>
      </c>
      <c r="S101" s="2" t="s">
        <v>473</v>
      </c>
    </row>
    <row r="102" spans="1:19" s="11" customFormat="1">
      <c r="A102" t="s">
        <v>399</v>
      </c>
      <c r="B102" s="35" t="b">
        <v>1</v>
      </c>
      <c r="C102" s="5" t="s">
        <v>360</v>
      </c>
      <c r="D102" s="2" t="s">
        <v>489</v>
      </c>
      <c r="E102">
        <v>0</v>
      </c>
      <c r="F102" s="2" t="s">
        <v>471</v>
      </c>
      <c r="G102" s="2"/>
      <c r="H102"/>
      <c r="I102"/>
      <c r="J102"/>
      <c r="K102"/>
      <c r="L102"/>
      <c r="M102"/>
      <c r="N102"/>
      <c r="O102"/>
      <c r="P102" s="34" t="b">
        <v>0</v>
      </c>
      <c r="Q102" s="12"/>
      <c r="R102"/>
      <c r="S102"/>
    </row>
    <row r="103" spans="1:19">
      <c r="A103" t="s">
        <v>399</v>
      </c>
      <c r="B103" s="35" t="b">
        <v>1</v>
      </c>
      <c r="C103" s="9" t="s">
        <v>360</v>
      </c>
      <c r="D103" s="10" t="s">
        <v>476</v>
      </c>
      <c r="E103" s="11">
        <v>1</v>
      </c>
      <c r="F103" s="10" t="s">
        <v>472</v>
      </c>
      <c r="G103" s="10" t="s">
        <v>499</v>
      </c>
      <c r="H103" s="10" t="s">
        <v>476</v>
      </c>
      <c r="I103" s="10"/>
      <c r="J103" s="11">
        <v>1</v>
      </c>
      <c r="K103" s="11"/>
      <c r="L103" s="11"/>
      <c r="M103" s="11"/>
      <c r="N103" s="11"/>
      <c r="O103" s="11"/>
      <c r="P103" s="34" t="b">
        <v>0</v>
      </c>
      <c r="R103" s="11"/>
      <c r="S103" s="10" t="s">
        <v>476</v>
      </c>
    </row>
    <row r="104" spans="1:19">
      <c r="A104" s="4" t="s">
        <v>547</v>
      </c>
      <c r="B104" s="35" t="b">
        <v>1</v>
      </c>
      <c r="C104" s="6" t="s">
        <v>400</v>
      </c>
      <c r="D104" s="2" t="s">
        <v>401</v>
      </c>
      <c r="E104">
        <v>0</v>
      </c>
      <c r="F104" s="2" t="s">
        <v>471</v>
      </c>
      <c r="G104" s="2" t="s">
        <v>473</v>
      </c>
      <c r="H104" s="2" t="s">
        <v>473</v>
      </c>
      <c r="I104" s="2" t="s">
        <v>494</v>
      </c>
      <c r="J104" s="2"/>
      <c r="K104" s="2"/>
      <c r="L104" s="2"/>
      <c r="M104" s="2"/>
      <c r="N104" s="2"/>
      <c r="O104" s="2"/>
      <c r="P104" s="2" t="b">
        <v>1</v>
      </c>
      <c r="Q104" s="13" t="s">
        <v>628</v>
      </c>
      <c r="S104" s="2" t="s">
        <v>473</v>
      </c>
    </row>
    <row r="105" spans="1:19">
      <c r="A105" s="28" t="s">
        <v>1363</v>
      </c>
      <c r="B105" s="35" t="b">
        <v>1</v>
      </c>
      <c r="C105" s="6" t="s">
        <v>400</v>
      </c>
      <c r="D105" s="2" t="s">
        <v>403</v>
      </c>
      <c r="E105">
        <v>0</v>
      </c>
      <c r="F105" s="2" t="s">
        <v>471</v>
      </c>
      <c r="G105" s="2" t="s">
        <v>473</v>
      </c>
      <c r="H105" s="2" t="s">
        <v>473</v>
      </c>
      <c r="I105" s="2" t="s">
        <v>494</v>
      </c>
      <c r="J105" s="2"/>
      <c r="K105" s="2"/>
      <c r="L105" s="2"/>
      <c r="M105" s="2"/>
      <c r="N105" s="2"/>
      <c r="O105" s="2"/>
      <c r="P105" s="2" t="b">
        <v>1</v>
      </c>
      <c r="Q105" s="13" t="s">
        <v>629</v>
      </c>
      <c r="S105" s="2" t="s">
        <v>473</v>
      </c>
    </row>
    <row r="106" spans="1:19">
      <c r="A106" s="28" t="s">
        <v>1364</v>
      </c>
      <c r="B106" s="35" t="b">
        <v>1</v>
      </c>
      <c r="C106" s="6" t="s">
        <v>400</v>
      </c>
      <c r="D106" s="2" t="s">
        <v>404</v>
      </c>
      <c r="E106">
        <v>0</v>
      </c>
      <c r="F106" s="2" t="s">
        <v>471</v>
      </c>
      <c r="G106" s="2" t="s">
        <v>473</v>
      </c>
      <c r="H106" s="2" t="s">
        <v>664</v>
      </c>
      <c r="I106" s="2" t="s">
        <v>494</v>
      </c>
      <c r="J106" s="2"/>
      <c r="K106" s="2"/>
      <c r="L106" s="2"/>
      <c r="M106" s="2"/>
      <c r="N106" s="2"/>
      <c r="O106" s="2"/>
      <c r="P106" s="2" t="b">
        <v>1</v>
      </c>
      <c r="Q106" s="13" t="s">
        <v>597</v>
      </c>
      <c r="R106" t="s">
        <v>370</v>
      </c>
      <c r="S106" s="2" t="s">
        <v>473</v>
      </c>
    </row>
    <row r="107" spans="1:19">
      <c r="A107" s="28" t="s">
        <v>549</v>
      </c>
      <c r="B107" s="35" t="b">
        <v>1</v>
      </c>
      <c r="C107" s="6" t="s">
        <v>400</v>
      </c>
      <c r="D107" s="2" t="s">
        <v>405</v>
      </c>
      <c r="E107">
        <v>0</v>
      </c>
      <c r="F107" s="2" t="s">
        <v>471</v>
      </c>
      <c r="G107" s="2" t="s">
        <v>473</v>
      </c>
      <c r="H107" s="2" t="s">
        <v>664</v>
      </c>
      <c r="I107" s="2" t="s">
        <v>494</v>
      </c>
      <c r="J107" s="2"/>
      <c r="K107" s="2"/>
      <c r="L107" s="2"/>
      <c r="M107" s="2"/>
      <c r="N107" s="2"/>
      <c r="O107" s="2"/>
      <c r="P107" s="2" t="b">
        <v>1</v>
      </c>
      <c r="Q107" s="13" t="s">
        <v>597</v>
      </c>
      <c r="R107" t="s">
        <v>370</v>
      </c>
      <c r="S107" s="2" t="s">
        <v>473</v>
      </c>
    </row>
    <row r="108" spans="1:19">
      <c r="A108" s="28" t="s">
        <v>550</v>
      </c>
      <c r="B108" s="35" t="b">
        <v>1</v>
      </c>
      <c r="C108" s="6" t="s">
        <v>400</v>
      </c>
      <c r="D108" s="2" t="s">
        <v>406</v>
      </c>
      <c r="E108">
        <v>0</v>
      </c>
      <c r="F108" s="2" t="s">
        <v>471</v>
      </c>
      <c r="G108" s="2" t="s">
        <v>473</v>
      </c>
      <c r="H108" s="2" t="s">
        <v>664</v>
      </c>
      <c r="I108" s="2" t="s">
        <v>494</v>
      </c>
      <c r="J108" s="2"/>
      <c r="K108" s="2"/>
      <c r="L108" s="2"/>
      <c r="M108" s="2"/>
      <c r="N108" s="2"/>
      <c r="O108" s="2"/>
      <c r="P108" s="2" t="b">
        <v>1</v>
      </c>
      <c r="Q108" s="13" t="s">
        <v>597</v>
      </c>
      <c r="R108" t="s">
        <v>370</v>
      </c>
      <c r="S108" s="2" t="s">
        <v>473</v>
      </c>
    </row>
    <row r="109" spans="1:19">
      <c r="A109" s="28" t="s">
        <v>551</v>
      </c>
      <c r="B109" s="35" t="b">
        <v>1</v>
      </c>
      <c r="C109" s="6" t="s">
        <v>400</v>
      </c>
      <c r="D109" s="2" t="s">
        <v>407</v>
      </c>
      <c r="E109">
        <v>0</v>
      </c>
      <c r="F109" s="2" t="s">
        <v>471</v>
      </c>
      <c r="G109" s="2" t="s">
        <v>473</v>
      </c>
      <c r="H109" s="2" t="s">
        <v>664</v>
      </c>
      <c r="I109" s="2" t="s">
        <v>494</v>
      </c>
      <c r="J109" s="2"/>
      <c r="K109" s="2"/>
      <c r="L109" s="2"/>
      <c r="M109" s="2"/>
      <c r="N109" s="2"/>
      <c r="O109" s="2"/>
      <c r="P109" s="2" t="b">
        <v>1</v>
      </c>
      <c r="Q109" s="13" t="s">
        <v>597</v>
      </c>
      <c r="R109" t="s">
        <v>370</v>
      </c>
      <c r="S109" s="2" t="s">
        <v>473</v>
      </c>
    </row>
    <row r="110" spans="1:19">
      <c r="A110" s="28" t="s">
        <v>552</v>
      </c>
      <c r="B110" s="35" t="b">
        <v>1</v>
      </c>
      <c r="C110" s="6" t="s">
        <v>400</v>
      </c>
      <c r="D110" s="2" t="s">
        <v>408</v>
      </c>
      <c r="E110">
        <v>0</v>
      </c>
      <c r="F110" s="2" t="s">
        <v>471</v>
      </c>
      <c r="G110" s="2" t="s">
        <v>473</v>
      </c>
      <c r="H110" s="2" t="s">
        <v>664</v>
      </c>
      <c r="I110" s="2" t="s">
        <v>494</v>
      </c>
      <c r="J110" s="2"/>
      <c r="K110" s="2"/>
      <c r="L110" s="2"/>
      <c r="M110" s="2"/>
      <c r="N110" s="2"/>
      <c r="O110" s="2"/>
      <c r="P110" s="2" t="b">
        <v>1</v>
      </c>
      <c r="Q110" s="13" t="s">
        <v>597</v>
      </c>
      <c r="R110" t="s">
        <v>370</v>
      </c>
      <c r="S110" s="2" t="s">
        <v>473</v>
      </c>
    </row>
    <row r="111" spans="1:19">
      <c r="A111" s="28" t="s">
        <v>1366</v>
      </c>
      <c r="B111" s="35" t="b">
        <v>1</v>
      </c>
      <c r="C111" s="6" t="s">
        <v>400</v>
      </c>
      <c r="D111" s="2" t="s">
        <v>409</v>
      </c>
      <c r="E111">
        <v>0</v>
      </c>
      <c r="F111" s="2" t="s">
        <v>471</v>
      </c>
      <c r="G111" s="2" t="s">
        <v>473</v>
      </c>
      <c r="H111" s="2" t="s">
        <v>664</v>
      </c>
      <c r="I111" s="2" t="s">
        <v>494</v>
      </c>
      <c r="J111" s="2"/>
      <c r="K111" s="2"/>
      <c r="L111" s="2"/>
      <c r="M111" s="2"/>
      <c r="N111" s="2"/>
      <c r="O111" s="2"/>
      <c r="P111" s="2" t="b">
        <v>1</v>
      </c>
      <c r="Q111" s="12" t="s">
        <v>597</v>
      </c>
      <c r="R111" t="s">
        <v>370</v>
      </c>
      <c r="S111" s="2" t="s">
        <v>473</v>
      </c>
    </row>
    <row r="112" spans="1:19">
      <c r="A112" s="28" t="s">
        <v>1365</v>
      </c>
      <c r="B112" s="35" t="b">
        <v>1</v>
      </c>
      <c r="C112" s="6" t="s">
        <v>400</v>
      </c>
      <c r="D112" s="2" t="s">
        <v>410</v>
      </c>
      <c r="E112">
        <v>0</v>
      </c>
      <c r="F112" s="2" t="s">
        <v>471</v>
      </c>
      <c r="G112" s="2" t="s">
        <v>473</v>
      </c>
      <c r="H112" s="2" t="s">
        <v>664</v>
      </c>
      <c r="I112" s="2" t="s">
        <v>494</v>
      </c>
      <c r="J112" s="2"/>
      <c r="K112" s="2"/>
      <c r="L112" s="2"/>
      <c r="M112" s="2"/>
      <c r="N112" s="2"/>
      <c r="O112" s="2"/>
      <c r="P112" s="2" t="b">
        <v>1</v>
      </c>
      <c r="Q112" s="12" t="s">
        <v>597</v>
      </c>
      <c r="R112" t="s">
        <v>370</v>
      </c>
      <c r="S112" s="2" t="s">
        <v>473</v>
      </c>
    </row>
    <row r="113" spans="1:19">
      <c r="A113" s="28" t="s">
        <v>1367</v>
      </c>
      <c r="B113" s="35" t="b">
        <v>1</v>
      </c>
      <c r="C113" s="6" t="s">
        <v>400</v>
      </c>
      <c r="D113" s="2" t="s">
        <v>490</v>
      </c>
      <c r="E113">
        <v>0</v>
      </c>
      <c r="F113" t="s">
        <v>471</v>
      </c>
      <c r="G113" s="2" t="s">
        <v>473</v>
      </c>
      <c r="I113" s="2" t="s">
        <v>494</v>
      </c>
      <c r="P113" s="2" t="b">
        <v>1</v>
      </c>
      <c r="Q113" s="13" t="s">
        <v>630</v>
      </c>
      <c r="R113" t="s">
        <v>364</v>
      </c>
      <c r="S113" s="2" t="s">
        <v>497</v>
      </c>
    </row>
    <row r="114" spans="1:19" s="11" customFormat="1">
      <c r="A114" s="28" t="s">
        <v>1367</v>
      </c>
      <c r="B114" s="35" t="b">
        <v>1</v>
      </c>
      <c r="C114" s="33" t="s">
        <v>400</v>
      </c>
      <c r="D114" t="s">
        <v>475</v>
      </c>
      <c r="E114">
        <v>1</v>
      </c>
      <c r="F114" t="s">
        <v>474</v>
      </c>
      <c r="G114" s="2" t="s">
        <v>499</v>
      </c>
      <c r="H114" t="s">
        <v>364</v>
      </c>
      <c r="I114" t="s">
        <v>364</v>
      </c>
      <c r="J114"/>
      <c r="K114"/>
      <c r="L114"/>
      <c r="M114" t="s">
        <v>905</v>
      </c>
      <c r="N114"/>
      <c r="O114"/>
      <c r="P114" s="2" t="b">
        <v>1</v>
      </c>
      <c r="Q114" s="13" t="s">
        <v>630</v>
      </c>
      <c r="R114" t="s">
        <v>364</v>
      </c>
      <c r="S114" s="2" t="s">
        <v>497</v>
      </c>
    </row>
    <row r="115" spans="1:19">
      <c r="A115" s="28" t="s">
        <v>938</v>
      </c>
      <c r="B115" s="35" t="b">
        <v>1</v>
      </c>
      <c r="C115" s="6" t="s">
        <v>400</v>
      </c>
      <c r="D115" s="2" t="s">
        <v>411</v>
      </c>
      <c r="E115">
        <v>0</v>
      </c>
      <c r="F115" s="2" t="s">
        <v>471</v>
      </c>
      <c r="G115" s="2" t="s">
        <v>473</v>
      </c>
      <c r="H115" s="2" t="s">
        <v>473</v>
      </c>
      <c r="I115" s="2" t="s">
        <v>494</v>
      </c>
      <c r="J115" s="2"/>
      <c r="K115" s="2"/>
      <c r="L115" s="2"/>
      <c r="M115" s="2"/>
      <c r="N115" s="2"/>
      <c r="O115" s="2"/>
      <c r="P115" s="2" t="b">
        <v>1</v>
      </c>
      <c r="Q115" s="13" t="s">
        <v>631</v>
      </c>
      <c r="S115" s="2" t="s">
        <v>473</v>
      </c>
    </row>
    <row r="116" spans="1:19">
      <c r="A116" s="28" t="s">
        <v>1368</v>
      </c>
      <c r="B116" s="35" t="b">
        <v>1</v>
      </c>
      <c r="C116" s="6" t="s">
        <v>400</v>
      </c>
      <c r="D116" s="2" t="s">
        <v>412</v>
      </c>
      <c r="E116">
        <v>0</v>
      </c>
      <c r="F116" s="2" t="s">
        <v>471</v>
      </c>
      <c r="G116" s="2" t="s">
        <v>473</v>
      </c>
      <c r="H116" s="2" t="s">
        <v>473</v>
      </c>
      <c r="I116" s="2" t="s">
        <v>494</v>
      </c>
      <c r="J116" s="2"/>
      <c r="K116" s="2"/>
      <c r="L116" s="2"/>
      <c r="M116" s="2"/>
      <c r="N116" s="2"/>
      <c r="O116" s="2"/>
      <c r="P116" s="2" t="b">
        <v>1</v>
      </c>
      <c r="Q116" s="13" t="s">
        <v>632</v>
      </c>
      <c r="S116" s="2" t="s">
        <v>473</v>
      </c>
    </row>
    <row r="117" spans="1:19">
      <c r="A117" s="28" t="s">
        <v>940</v>
      </c>
      <c r="B117" s="35" t="b">
        <v>1</v>
      </c>
      <c r="C117" s="6" t="s">
        <v>400</v>
      </c>
      <c r="D117" s="2" t="s">
        <v>413</v>
      </c>
      <c r="E117">
        <v>0</v>
      </c>
      <c r="F117" s="2" t="s">
        <v>471</v>
      </c>
      <c r="G117" s="2" t="s">
        <v>473</v>
      </c>
      <c r="H117" s="2" t="s">
        <v>473</v>
      </c>
      <c r="I117" s="2" t="s">
        <v>494</v>
      </c>
      <c r="J117" s="2"/>
      <c r="K117" s="2"/>
      <c r="L117" s="2"/>
      <c r="M117" s="2"/>
      <c r="N117" s="2"/>
      <c r="O117" s="2"/>
      <c r="P117" s="2" t="b">
        <v>1</v>
      </c>
      <c r="Q117" s="13" t="s">
        <v>633</v>
      </c>
      <c r="S117" s="2" t="s">
        <v>473</v>
      </c>
    </row>
    <row r="118" spans="1:19">
      <c r="A118" s="28" t="s">
        <v>554</v>
      </c>
      <c r="B118" s="35" t="b">
        <v>1</v>
      </c>
      <c r="C118" s="6" t="s">
        <v>400</v>
      </c>
      <c r="D118" s="2" t="s">
        <v>414</v>
      </c>
      <c r="E118">
        <v>0</v>
      </c>
      <c r="F118" s="2" t="s">
        <v>471</v>
      </c>
      <c r="G118" s="2" t="s">
        <v>473</v>
      </c>
      <c r="H118" s="2" t="s">
        <v>473</v>
      </c>
      <c r="I118" s="2" t="s">
        <v>494</v>
      </c>
      <c r="J118" s="2"/>
      <c r="K118" s="2"/>
      <c r="L118" s="2"/>
      <c r="M118" s="2"/>
      <c r="N118" s="2"/>
      <c r="O118" s="2"/>
      <c r="P118" s="2" t="b">
        <v>1</v>
      </c>
      <c r="Q118" s="12" t="s">
        <v>631</v>
      </c>
      <c r="S118" s="2" t="s">
        <v>473</v>
      </c>
    </row>
    <row r="119" spans="1:19">
      <c r="A119" s="28" t="s">
        <v>555</v>
      </c>
      <c r="B119" s="35" t="b">
        <v>1</v>
      </c>
      <c r="C119" s="6" t="s">
        <v>400</v>
      </c>
      <c r="D119" s="2" t="s">
        <v>415</v>
      </c>
      <c r="E119">
        <v>1</v>
      </c>
      <c r="F119" s="2" t="s">
        <v>471</v>
      </c>
      <c r="G119" s="2" t="s">
        <v>473</v>
      </c>
      <c r="H119" s="2" t="s">
        <v>473</v>
      </c>
      <c r="I119" s="2" t="s">
        <v>494</v>
      </c>
      <c r="J119" s="2"/>
      <c r="K119" s="2"/>
      <c r="L119" s="2"/>
      <c r="M119" s="2"/>
      <c r="N119" s="2"/>
      <c r="O119" s="2"/>
      <c r="P119" s="2" t="b">
        <v>1</v>
      </c>
      <c r="Q119" s="12" t="s">
        <v>631</v>
      </c>
      <c r="S119" s="2" t="s">
        <v>473</v>
      </c>
    </row>
    <row r="120" spans="1:19">
      <c r="A120" s="28" t="s">
        <v>562</v>
      </c>
      <c r="B120" s="35" t="b">
        <v>1</v>
      </c>
      <c r="C120" s="6" t="s">
        <v>417</v>
      </c>
      <c r="D120" s="2" t="s">
        <v>438</v>
      </c>
      <c r="E120">
        <v>0</v>
      </c>
      <c r="F120" s="2" t="s">
        <v>471</v>
      </c>
      <c r="G120" s="2" t="s">
        <v>473</v>
      </c>
      <c r="H120" s="2" t="s">
        <v>473</v>
      </c>
      <c r="I120" s="2" t="s">
        <v>494</v>
      </c>
      <c r="J120" s="2"/>
      <c r="K120" s="2"/>
      <c r="L120" s="2"/>
      <c r="M120" s="2"/>
      <c r="N120" s="2"/>
      <c r="O120" s="2"/>
      <c r="P120" s="34" t="b">
        <v>0</v>
      </c>
      <c r="Q120" s="13" t="s">
        <v>597</v>
      </c>
      <c r="S120" s="2" t="s">
        <v>473</v>
      </c>
    </row>
    <row r="121" spans="1:19">
      <c r="A121" s="28" t="s">
        <v>1406</v>
      </c>
      <c r="B121" s="35" t="b">
        <v>1</v>
      </c>
      <c r="C121" s="6" t="s">
        <v>400</v>
      </c>
      <c r="D121" s="2" t="s">
        <v>1407</v>
      </c>
      <c r="E121">
        <v>0</v>
      </c>
      <c r="F121" s="2" t="s">
        <v>471</v>
      </c>
      <c r="G121" s="2" t="s">
        <v>499</v>
      </c>
      <c r="H121" s="2" t="s">
        <v>499</v>
      </c>
      <c r="I121" s="2" t="s">
        <v>494</v>
      </c>
      <c r="J121" s="2"/>
      <c r="K121" s="2"/>
      <c r="L121" s="2"/>
      <c r="M121" s="2"/>
      <c r="N121" s="2"/>
      <c r="O121" s="2"/>
      <c r="P121" s="2" t="b">
        <v>1</v>
      </c>
      <c r="S121" s="2"/>
    </row>
    <row r="122" spans="1:19">
      <c r="A122" s="28" t="s">
        <v>1406</v>
      </c>
      <c r="B122" s="35" t="b">
        <v>1</v>
      </c>
      <c r="C122" s="6" t="s">
        <v>400</v>
      </c>
      <c r="D122" s="2" t="s">
        <v>476</v>
      </c>
      <c r="E122">
        <v>1</v>
      </c>
      <c r="F122" s="2" t="s">
        <v>472</v>
      </c>
      <c r="G122" s="2" t="s">
        <v>499</v>
      </c>
      <c r="H122" s="2" t="s">
        <v>499</v>
      </c>
      <c r="I122" s="2" t="s">
        <v>495</v>
      </c>
      <c r="J122" s="2">
        <v>2</v>
      </c>
      <c r="K122" s="2"/>
      <c r="L122" s="2"/>
      <c r="M122" s="2"/>
      <c r="N122" s="2"/>
      <c r="O122" s="2"/>
      <c r="P122" s="2" t="b">
        <v>1</v>
      </c>
      <c r="S122" s="2"/>
    </row>
    <row r="123" spans="1:19">
      <c r="A123" s="28" t="s">
        <v>569</v>
      </c>
      <c r="B123" s="35" t="b">
        <v>1</v>
      </c>
      <c r="C123" s="6" t="s">
        <v>417</v>
      </c>
      <c r="D123" s="2" t="s">
        <v>418</v>
      </c>
      <c r="E123">
        <v>0</v>
      </c>
      <c r="F123" s="2" t="s">
        <v>471</v>
      </c>
      <c r="G123" s="2" t="s">
        <v>473</v>
      </c>
      <c r="H123" s="2" t="s">
        <v>473</v>
      </c>
      <c r="I123" s="2" t="s">
        <v>494</v>
      </c>
      <c r="J123" s="2"/>
      <c r="K123" s="2"/>
      <c r="L123" s="2"/>
      <c r="M123" s="2"/>
      <c r="N123" s="2"/>
      <c r="O123" s="2"/>
      <c r="P123" s="2" t="b">
        <v>1</v>
      </c>
      <c r="Q123" s="13">
        <v>309830.060306</v>
      </c>
      <c r="S123" s="2" t="s">
        <v>473</v>
      </c>
    </row>
    <row r="124" spans="1:19">
      <c r="A124" s="28" t="s">
        <v>570</v>
      </c>
      <c r="B124" s="35" t="b">
        <v>1</v>
      </c>
      <c r="C124" s="6" t="s">
        <v>417</v>
      </c>
      <c r="D124" s="2" t="s">
        <v>419</v>
      </c>
      <c r="E124">
        <v>0</v>
      </c>
      <c r="F124" s="2" t="s">
        <v>471</v>
      </c>
      <c r="G124" s="2" t="s">
        <v>473</v>
      </c>
      <c r="H124" s="2" t="s">
        <v>473</v>
      </c>
      <c r="I124" s="2" t="s">
        <v>494</v>
      </c>
      <c r="J124" s="2"/>
      <c r="K124" s="2"/>
      <c r="L124" s="2"/>
      <c r="M124" s="2"/>
      <c r="N124" s="2"/>
      <c r="O124" s="2"/>
      <c r="P124" s="2" t="b">
        <v>1</v>
      </c>
      <c r="Q124" s="13">
        <v>46749.175112999998</v>
      </c>
      <c r="S124" s="2" t="s">
        <v>473</v>
      </c>
    </row>
    <row r="125" spans="1:19">
      <c r="A125" s="28" t="s">
        <v>571</v>
      </c>
      <c r="B125" s="35" t="b">
        <v>1</v>
      </c>
      <c r="C125" s="6" t="s">
        <v>417</v>
      </c>
      <c r="D125" s="2" t="s">
        <v>420</v>
      </c>
      <c r="E125">
        <v>0</v>
      </c>
      <c r="F125" s="2" t="s">
        <v>471</v>
      </c>
      <c r="G125" s="2" t="s">
        <v>473</v>
      </c>
      <c r="H125" s="2" t="s">
        <v>473</v>
      </c>
      <c r="I125" s="2" t="s">
        <v>494</v>
      </c>
      <c r="J125" s="2"/>
      <c r="K125" s="2"/>
      <c r="L125" s="2"/>
      <c r="M125" s="2"/>
      <c r="N125" s="2"/>
      <c r="O125" s="2"/>
      <c r="P125" s="2" t="b">
        <v>1</v>
      </c>
      <c r="Q125" s="13">
        <v>0</v>
      </c>
      <c r="S125" s="2" t="s">
        <v>473</v>
      </c>
    </row>
    <row r="126" spans="1:19">
      <c r="A126" s="28" t="s">
        <v>563</v>
      </c>
      <c r="B126" s="35" t="b">
        <v>1</v>
      </c>
      <c r="C126" s="6" t="s">
        <v>417</v>
      </c>
      <c r="D126" s="2" t="s">
        <v>421</v>
      </c>
      <c r="E126">
        <v>0</v>
      </c>
      <c r="F126" s="2" t="s">
        <v>471</v>
      </c>
      <c r="G126" s="2" t="s">
        <v>473</v>
      </c>
      <c r="H126" s="2" t="s">
        <v>473</v>
      </c>
      <c r="I126" s="2" t="s">
        <v>494</v>
      </c>
      <c r="J126" s="2"/>
      <c r="K126" s="2"/>
      <c r="L126" s="2"/>
      <c r="M126" s="2"/>
      <c r="N126" s="2"/>
      <c r="O126" s="2"/>
      <c r="P126" s="2" t="b">
        <v>1</v>
      </c>
      <c r="Q126" s="13" t="s">
        <v>667</v>
      </c>
      <c r="S126" s="2" t="s">
        <v>473</v>
      </c>
    </row>
    <row r="127" spans="1:19">
      <c r="A127" s="28" t="s">
        <v>565</v>
      </c>
      <c r="B127" s="35" t="b">
        <v>1</v>
      </c>
      <c r="C127" s="6" t="s">
        <v>417</v>
      </c>
      <c r="D127" s="2" t="s">
        <v>422</v>
      </c>
      <c r="E127">
        <v>0</v>
      </c>
      <c r="F127" s="2" t="s">
        <v>471</v>
      </c>
      <c r="G127" s="2" t="s">
        <v>473</v>
      </c>
      <c r="H127" s="2" t="s">
        <v>473</v>
      </c>
      <c r="I127" s="2" t="s">
        <v>494</v>
      </c>
      <c r="J127" s="2"/>
      <c r="K127" s="2"/>
      <c r="L127" s="2"/>
      <c r="M127" s="2"/>
      <c r="N127" s="2"/>
      <c r="O127" s="2"/>
      <c r="P127" s="2" t="b">
        <v>1</v>
      </c>
      <c r="Q127" s="13">
        <v>14017.98724</v>
      </c>
      <c r="S127" s="2" t="s">
        <v>473</v>
      </c>
    </row>
    <row r="128" spans="1:19">
      <c r="A128" s="28" t="s">
        <v>564</v>
      </c>
      <c r="B128" s="35" t="b">
        <v>1</v>
      </c>
      <c r="C128" s="6" t="s">
        <v>417</v>
      </c>
      <c r="D128" s="2" t="s">
        <v>423</v>
      </c>
      <c r="E128">
        <v>0</v>
      </c>
      <c r="F128" s="2" t="s">
        <v>471</v>
      </c>
      <c r="G128" s="2" t="s">
        <v>473</v>
      </c>
      <c r="H128" s="2" t="s">
        <v>473</v>
      </c>
      <c r="I128" s="2" t="s">
        <v>494</v>
      </c>
      <c r="J128" s="2"/>
      <c r="K128" s="2"/>
      <c r="L128" s="2"/>
      <c r="M128" s="2"/>
      <c r="N128" s="2"/>
      <c r="O128" s="2"/>
      <c r="P128" s="2" t="b">
        <v>1</v>
      </c>
      <c r="Q128" s="13" t="s">
        <v>634</v>
      </c>
      <c r="S128" s="2" t="s">
        <v>473</v>
      </c>
    </row>
    <row r="129" spans="1:19">
      <c r="A129" s="28" t="s">
        <v>566</v>
      </c>
      <c r="B129" s="35" t="b">
        <v>1</v>
      </c>
      <c r="C129" s="6" t="s">
        <v>417</v>
      </c>
      <c r="D129" s="2" t="s">
        <v>424</v>
      </c>
      <c r="E129">
        <v>0</v>
      </c>
      <c r="F129" s="2" t="s">
        <v>471</v>
      </c>
      <c r="G129" s="2" t="s">
        <v>473</v>
      </c>
      <c r="H129" s="2" t="s">
        <v>473</v>
      </c>
      <c r="I129" s="2" t="s">
        <v>494</v>
      </c>
      <c r="J129" s="2"/>
      <c r="K129" s="2"/>
      <c r="L129" s="2"/>
      <c r="M129" s="2"/>
      <c r="N129" s="2"/>
      <c r="O129" s="2"/>
      <c r="P129" s="2" t="b">
        <v>1</v>
      </c>
      <c r="Q129" s="13" t="s">
        <v>635</v>
      </c>
      <c r="S129" s="2" t="s">
        <v>473</v>
      </c>
    </row>
    <row r="130" spans="1:19">
      <c r="A130" s="28" t="s">
        <v>567</v>
      </c>
      <c r="B130" s="35" t="b">
        <v>1</v>
      </c>
      <c r="C130" s="6" t="s">
        <v>417</v>
      </c>
      <c r="D130" s="2" t="s">
        <v>425</v>
      </c>
      <c r="E130">
        <v>0</v>
      </c>
      <c r="F130" s="2" t="s">
        <v>471</v>
      </c>
      <c r="G130" s="2" t="s">
        <v>473</v>
      </c>
      <c r="H130" s="2" t="s">
        <v>473</v>
      </c>
      <c r="I130" s="2" t="s">
        <v>494</v>
      </c>
      <c r="J130" s="2"/>
      <c r="K130" s="2"/>
      <c r="L130" s="2"/>
      <c r="M130" s="2"/>
      <c r="N130" s="2"/>
      <c r="O130" s="2"/>
      <c r="P130" s="2" t="b">
        <v>1</v>
      </c>
      <c r="Q130" s="13" t="s">
        <v>636</v>
      </c>
      <c r="S130" s="2" t="s">
        <v>473</v>
      </c>
    </row>
    <row r="131" spans="1:19">
      <c r="A131" s="28" t="s">
        <v>568</v>
      </c>
      <c r="B131" s="35" t="b">
        <v>1</v>
      </c>
      <c r="C131" s="6" t="s">
        <v>417</v>
      </c>
      <c r="D131" s="2" t="s">
        <v>426</v>
      </c>
      <c r="E131">
        <v>0</v>
      </c>
      <c r="F131" s="2" t="s">
        <v>471</v>
      </c>
      <c r="G131" s="2" t="s">
        <v>473</v>
      </c>
      <c r="H131" s="2" t="s">
        <v>473</v>
      </c>
      <c r="I131" s="2" t="s">
        <v>494</v>
      </c>
      <c r="J131" s="2"/>
      <c r="K131" s="2"/>
      <c r="L131" s="2"/>
      <c r="M131" s="2"/>
      <c r="N131" s="2"/>
      <c r="O131" s="2"/>
      <c r="P131" s="2" t="b">
        <v>1</v>
      </c>
      <c r="Q131" s="13">
        <v>0</v>
      </c>
      <c r="S131" s="2" t="s">
        <v>473</v>
      </c>
    </row>
    <row r="132" spans="1:19">
      <c r="A132" s="28" t="s">
        <v>573</v>
      </c>
      <c r="B132" s="35" t="b">
        <v>1</v>
      </c>
      <c r="C132" s="6" t="s">
        <v>417</v>
      </c>
      <c r="D132" s="2" t="s">
        <v>427</v>
      </c>
      <c r="E132">
        <v>0</v>
      </c>
      <c r="F132" s="2" t="s">
        <v>471</v>
      </c>
      <c r="G132" s="2" t="s">
        <v>473</v>
      </c>
      <c r="H132" s="2" t="s">
        <v>473</v>
      </c>
      <c r="I132" s="2" t="s">
        <v>494</v>
      </c>
      <c r="J132" s="2"/>
      <c r="K132" s="2"/>
      <c r="L132" s="2"/>
      <c r="M132" s="2"/>
      <c r="N132" s="2"/>
      <c r="O132" s="2"/>
      <c r="P132" s="2" t="b">
        <v>1</v>
      </c>
      <c r="Q132" s="13" t="s">
        <v>637</v>
      </c>
      <c r="S132" s="2" t="s">
        <v>473</v>
      </c>
    </row>
    <row r="133" spans="1:19">
      <c r="A133" s="28" t="s">
        <v>574</v>
      </c>
      <c r="B133" s="35" t="b">
        <v>1</v>
      </c>
      <c r="C133" s="6" t="s">
        <v>417</v>
      </c>
      <c r="D133" s="2" t="s">
        <v>428</v>
      </c>
      <c r="E133">
        <v>0</v>
      </c>
      <c r="F133" s="2" t="s">
        <v>471</v>
      </c>
      <c r="G133" s="2" t="s">
        <v>473</v>
      </c>
      <c r="H133" s="2" t="s">
        <v>473</v>
      </c>
      <c r="I133" s="2" t="s">
        <v>494</v>
      </c>
      <c r="J133" s="2"/>
      <c r="K133" s="2"/>
      <c r="L133" s="2"/>
      <c r="M133" s="2"/>
      <c r="N133" s="2"/>
      <c r="O133" s="2"/>
      <c r="P133" s="2" t="b">
        <v>1</v>
      </c>
      <c r="Q133" s="13" t="s">
        <v>631</v>
      </c>
      <c r="S133" s="2" t="s">
        <v>473</v>
      </c>
    </row>
    <row r="134" spans="1:19">
      <c r="A134" s="28" t="s">
        <v>572</v>
      </c>
      <c r="B134" s="35" t="b">
        <v>1</v>
      </c>
      <c r="C134" s="6" t="s">
        <v>417</v>
      </c>
      <c r="D134" s="2" t="s">
        <v>429</v>
      </c>
      <c r="E134">
        <v>0</v>
      </c>
      <c r="F134" s="2" t="s">
        <v>471</v>
      </c>
      <c r="G134" s="2" t="s">
        <v>473</v>
      </c>
      <c r="H134" s="2" t="s">
        <v>473</v>
      </c>
      <c r="I134" s="2" t="s">
        <v>494</v>
      </c>
      <c r="J134" s="2"/>
      <c r="K134" s="2"/>
      <c r="L134" s="2"/>
      <c r="M134" s="2"/>
      <c r="N134" s="2"/>
      <c r="O134" s="2"/>
      <c r="P134" s="2" t="b">
        <v>1</v>
      </c>
      <c r="Q134" s="13" t="s">
        <v>638</v>
      </c>
      <c r="S134" s="2" t="s">
        <v>473</v>
      </c>
    </row>
    <row r="135" spans="1:19">
      <c r="A135" s="28" t="s">
        <v>1289</v>
      </c>
      <c r="B135" s="35" t="b">
        <v>1</v>
      </c>
      <c r="C135" s="6" t="s">
        <v>417</v>
      </c>
      <c r="D135" s="2" t="s">
        <v>430</v>
      </c>
      <c r="E135">
        <v>0</v>
      </c>
      <c r="F135" s="2" t="s">
        <v>471</v>
      </c>
      <c r="G135" s="2" t="s">
        <v>473</v>
      </c>
      <c r="H135" s="2" t="s">
        <v>473</v>
      </c>
      <c r="I135" s="2" t="s">
        <v>494</v>
      </c>
      <c r="J135" s="2"/>
      <c r="K135" s="2"/>
      <c r="L135" s="2"/>
      <c r="M135" s="2"/>
      <c r="N135" s="2"/>
      <c r="O135" s="2"/>
      <c r="P135" s="2" t="b">
        <v>1</v>
      </c>
      <c r="Q135" s="13">
        <v>0</v>
      </c>
      <c r="S135" s="2" t="s">
        <v>473</v>
      </c>
    </row>
    <row r="136" spans="1:19">
      <c r="A136" s="28" t="s">
        <v>1290</v>
      </c>
      <c r="B136" s="35" t="b">
        <v>1</v>
      </c>
      <c r="C136" s="6" t="s">
        <v>417</v>
      </c>
      <c r="D136" s="2" t="s">
        <v>431</v>
      </c>
      <c r="E136">
        <v>0</v>
      </c>
      <c r="F136" s="2" t="s">
        <v>471</v>
      </c>
      <c r="G136" s="2" t="s">
        <v>473</v>
      </c>
      <c r="H136" s="2" t="s">
        <v>473</v>
      </c>
      <c r="I136" s="2" t="s">
        <v>494</v>
      </c>
      <c r="J136" s="2"/>
      <c r="K136" s="2"/>
      <c r="L136" s="2"/>
      <c r="M136" s="2"/>
      <c r="N136" s="2"/>
      <c r="O136" s="2"/>
      <c r="P136" s="2" t="b">
        <v>1</v>
      </c>
      <c r="Q136" s="13">
        <v>0</v>
      </c>
      <c r="S136" s="2" t="s">
        <v>473</v>
      </c>
    </row>
    <row r="137" spans="1:19">
      <c r="A137" s="28" t="s">
        <v>1291</v>
      </c>
      <c r="B137" s="35" t="b">
        <v>1</v>
      </c>
      <c r="C137" s="6" t="s">
        <v>417</v>
      </c>
      <c r="D137" s="2" t="s">
        <v>432</v>
      </c>
      <c r="E137">
        <v>0</v>
      </c>
      <c r="F137" s="2" t="s">
        <v>471</v>
      </c>
      <c r="G137" s="2" t="s">
        <v>473</v>
      </c>
      <c r="H137" s="2" t="s">
        <v>473</v>
      </c>
      <c r="I137" s="2" t="s">
        <v>494</v>
      </c>
      <c r="J137" s="2"/>
      <c r="K137" s="2"/>
      <c r="L137" s="2"/>
      <c r="M137" s="2"/>
      <c r="N137" s="2"/>
      <c r="O137" s="2"/>
      <c r="P137" s="2" t="b">
        <v>1</v>
      </c>
      <c r="Q137" s="13">
        <v>0</v>
      </c>
      <c r="S137" s="2" t="s">
        <v>473</v>
      </c>
    </row>
    <row r="138" spans="1:19">
      <c r="A138" s="28" t="s">
        <v>828</v>
      </c>
      <c r="B138" s="35" t="b">
        <v>1</v>
      </c>
      <c r="C138" s="6" t="s">
        <v>417</v>
      </c>
      <c r="D138" s="2" t="s">
        <v>433</v>
      </c>
      <c r="E138">
        <v>0</v>
      </c>
      <c r="F138" s="2" t="s">
        <v>471</v>
      </c>
      <c r="G138" s="2" t="s">
        <v>473</v>
      </c>
      <c r="H138" s="2" t="s">
        <v>473</v>
      </c>
      <c r="I138" s="2" t="s">
        <v>494</v>
      </c>
      <c r="J138" s="2"/>
      <c r="K138" s="2"/>
      <c r="L138" s="2"/>
      <c r="M138" s="2"/>
      <c r="N138" s="2"/>
      <c r="O138" s="2"/>
      <c r="P138" s="2" t="b">
        <v>1</v>
      </c>
      <c r="Q138" s="13">
        <v>0</v>
      </c>
      <c r="S138" s="2" t="s">
        <v>473</v>
      </c>
    </row>
    <row r="139" spans="1:19">
      <c r="A139" s="28" t="s">
        <v>829</v>
      </c>
      <c r="B139" s="35" t="b">
        <v>1</v>
      </c>
      <c r="C139" s="6" t="s">
        <v>417</v>
      </c>
      <c r="D139" s="2" t="s">
        <v>434</v>
      </c>
      <c r="E139">
        <v>0</v>
      </c>
      <c r="F139" s="2" t="s">
        <v>471</v>
      </c>
      <c r="G139" s="2" t="s">
        <v>473</v>
      </c>
      <c r="H139" s="2" t="s">
        <v>473</v>
      </c>
      <c r="I139" s="2" t="s">
        <v>494</v>
      </c>
      <c r="J139" s="2"/>
      <c r="K139" s="2"/>
      <c r="L139" s="2"/>
      <c r="M139" s="2"/>
      <c r="N139" s="2"/>
      <c r="O139" s="2"/>
      <c r="P139" s="2" t="b">
        <v>1</v>
      </c>
      <c r="Q139" s="13">
        <v>0</v>
      </c>
      <c r="S139" s="2" t="s">
        <v>473</v>
      </c>
    </row>
    <row r="140" spans="1:19">
      <c r="A140" s="28" t="s">
        <v>830</v>
      </c>
      <c r="B140" s="35" t="b">
        <v>1</v>
      </c>
      <c r="C140" s="6" t="s">
        <v>417</v>
      </c>
      <c r="D140" s="2" t="s">
        <v>435</v>
      </c>
      <c r="E140">
        <v>0</v>
      </c>
      <c r="F140" s="2" t="s">
        <v>471</v>
      </c>
      <c r="G140" s="2" t="s">
        <v>473</v>
      </c>
      <c r="H140" s="2" t="s">
        <v>473</v>
      </c>
      <c r="I140" s="2" t="s">
        <v>494</v>
      </c>
      <c r="J140" s="2"/>
      <c r="K140" s="2"/>
      <c r="L140" s="2"/>
      <c r="M140" s="2"/>
      <c r="N140" s="2"/>
      <c r="O140" s="2"/>
      <c r="P140" s="2" t="b">
        <v>1</v>
      </c>
      <c r="Q140" s="13">
        <v>0</v>
      </c>
      <c r="S140" s="2" t="s">
        <v>473</v>
      </c>
    </row>
    <row r="141" spans="1:19">
      <c r="A141" s="28" t="s">
        <v>831</v>
      </c>
      <c r="B141" s="35" t="b">
        <v>1</v>
      </c>
      <c r="C141" s="6" t="s">
        <v>417</v>
      </c>
      <c r="D141" s="2" t="s">
        <v>436</v>
      </c>
      <c r="E141">
        <v>0</v>
      </c>
      <c r="F141" s="2" t="s">
        <v>471</v>
      </c>
      <c r="G141" s="2" t="s">
        <v>473</v>
      </c>
      <c r="H141" s="2" t="s">
        <v>473</v>
      </c>
      <c r="I141" s="2" t="s">
        <v>494</v>
      </c>
      <c r="J141" s="2"/>
      <c r="K141" s="2"/>
      <c r="L141" s="2"/>
      <c r="M141" s="2"/>
      <c r="N141" s="2"/>
      <c r="O141" s="2"/>
      <c r="P141" s="2" t="b">
        <v>1</v>
      </c>
      <c r="Q141" s="13">
        <v>0</v>
      </c>
      <c r="S141" s="2" t="s">
        <v>473</v>
      </c>
    </row>
    <row r="142" spans="1:19">
      <c r="A142" s="28" t="s">
        <v>832</v>
      </c>
      <c r="B142" s="35" t="b">
        <v>1</v>
      </c>
      <c r="C142" s="6" t="s">
        <v>417</v>
      </c>
      <c r="D142" s="2" t="s">
        <v>437</v>
      </c>
      <c r="E142">
        <v>0</v>
      </c>
      <c r="F142" s="2" t="s">
        <v>471</v>
      </c>
      <c r="G142" s="2" t="s">
        <v>473</v>
      </c>
      <c r="H142" s="2" t="s">
        <v>473</v>
      </c>
      <c r="I142" s="2" t="s">
        <v>494</v>
      </c>
      <c r="J142" s="2"/>
      <c r="K142" s="2"/>
      <c r="L142" s="2"/>
      <c r="M142" s="2"/>
      <c r="N142" s="2"/>
      <c r="O142" s="2"/>
      <c r="P142" s="2" t="b">
        <v>1</v>
      </c>
      <c r="Q142" s="13">
        <v>0</v>
      </c>
      <c r="S142" s="2" t="s">
        <v>473</v>
      </c>
    </row>
    <row r="143" spans="1:19">
      <c r="A143" s="28" t="s">
        <v>833</v>
      </c>
      <c r="B143" s="35" t="b">
        <v>1</v>
      </c>
      <c r="C143" s="6" t="s">
        <v>417</v>
      </c>
      <c r="D143" s="2" t="s">
        <v>439</v>
      </c>
      <c r="E143">
        <v>0</v>
      </c>
      <c r="F143" s="2" t="s">
        <v>471</v>
      </c>
      <c r="G143" s="2" t="s">
        <v>473</v>
      </c>
      <c r="H143" s="2" t="s">
        <v>473</v>
      </c>
      <c r="I143" s="2" t="s">
        <v>494</v>
      </c>
      <c r="J143" s="2"/>
      <c r="K143" s="2"/>
      <c r="L143" s="2"/>
      <c r="M143" s="2"/>
      <c r="N143" s="2"/>
      <c r="O143" s="2"/>
      <c r="P143" s="2" t="b">
        <v>1</v>
      </c>
      <c r="Q143" s="13" t="s">
        <v>639</v>
      </c>
      <c r="S143" s="2" t="s">
        <v>473</v>
      </c>
    </row>
    <row r="144" spans="1:19">
      <c r="A144" s="28" t="s">
        <v>834</v>
      </c>
      <c r="B144" s="35" t="b">
        <v>1</v>
      </c>
      <c r="C144" s="6" t="s">
        <v>417</v>
      </c>
      <c r="D144" s="2" t="s">
        <v>440</v>
      </c>
      <c r="E144">
        <v>0</v>
      </c>
      <c r="F144" s="2" t="s">
        <v>471</v>
      </c>
      <c r="G144" s="2" t="s">
        <v>473</v>
      </c>
      <c r="H144" s="2" t="s">
        <v>473</v>
      </c>
      <c r="I144" s="2" t="s">
        <v>494</v>
      </c>
      <c r="J144" s="2"/>
      <c r="K144" s="2"/>
      <c r="L144" s="2"/>
      <c r="M144" s="2"/>
      <c r="N144" s="2"/>
      <c r="O144" s="2"/>
      <c r="P144" s="2" t="b">
        <v>1</v>
      </c>
      <c r="Q144" s="13" t="s">
        <v>640</v>
      </c>
      <c r="S144" s="2" t="s">
        <v>473</v>
      </c>
    </row>
    <row r="145" spans="1:19">
      <c r="A145" s="28" t="s">
        <v>835</v>
      </c>
      <c r="B145" s="35" t="b">
        <v>1</v>
      </c>
      <c r="C145" s="6" t="s">
        <v>417</v>
      </c>
      <c r="D145" s="2" t="s">
        <v>441</v>
      </c>
      <c r="E145">
        <v>0</v>
      </c>
      <c r="F145" s="2" t="s">
        <v>471</v>
      </c>
      <c r="G145" s="2" t="s">
        <v>473</v>
      </c>
      <c r="H145" s="2" t="s">
        <v>473</v>
      </c>
      <c r="I145" s="2" t="s">
        <v>494</v>
      </c>
      <c r="J145" s="2"/>
      <c r="K145" s="2"/>
      <c r="L145" s="2"/>
      <c r="M145" s="2"/>
      <c r="N145" s="2"/>
      <c r="O145" s="2"/>
      <c r="P145" s="2" t="b">
        <v>1</v>
      </c>
      <c r="Q145" s="13" t="s">
        <v>641</v>
      </c>
      <c r="S145" s="2" t="s">
        <v>473</v>
      </c>
    </row>
    <row r="146" spans="1:19">
      <c r="A146" s="28" t="s">
        <v>836</v>
      </c>
      <c r="B146" s="35" t="b">
        <v>1</v>
      </c>
      <c r="C146" s="6" t="s">
        <v>417</v>
      </c>
      <c r="D146" s="2" t="s">
        <v>442</v>
      </c>
      <c r="E146">
        <v>0</v>
      </c>
      <c r="F146" s="2" t="s">
        <v>471</v>
      </c>
      <c r="G146" s="2" t="s">
        <v>473</v>
      </c>
      <c r="H146" s="2" t="s">
        <v>473</v>
      </c>
      <c r="I146" s="2" t="s">
        <v>494</v>
      </c>
      <c r="J146" s="2"/>
      <c r="K146" s="2"/>
      <c r="L146" s="2"/>
      <c r="M146" s="2"/>
      <c r="N146" s="2"/>
      <c r="O146" s="2"/>
      <c r="P146" s="2" t="b">
        <v>1</v>
      </c>
      <c r="Q146" s="13" t="s">
        <v>631</v>
      </c>
      <c r="S146" s="2" t="s">
        <v>473</v>
      </c>
    </row>
    <row r="147" spans="1:19">
      <c r="A147" s="28" t="s">
        <v>837</v>
      </c>
      <c r="B147" s="35" t="b">
        <v>1</v>
      </c>
      <c r="C147" s="6" t="s">
        <v>417</v>
      </c>
      <c r="D147" s="2" t="s">
        <v>443</v>
      </c>
      <c r="E147">
        <v>0</v>
      </c>
      <c r="F147" s="2" t="s">
        <v>471</v>
      </c>
      <c r="G147" s="2" t="s">
        <v>473</v>
      </c>
      <c r="H147" s="2" t="s">
        <v>473</v>
      </c>
      <c r="I147" s="2" t="s">
        <v>494</v>
      </c>
      <c r="J147" s="2"/>
      <c r="K147" s="2"/>
      <c r="L147" s="2"/>
      <c r="M147" s="2"/>
      <c r="N147" s="2"/>
      <c r="O147" s="2"/>
      <c r="P147" s="2" t="b">
        <v>1</v>
      </c>
      <c r="Q147" s="13" t="s">
        <v>642</v>
      </c>
      <c r="S147" s="2" t="s">
        <v>473</v>
      </c>
    </row>
    <row r="148" spans="1:19">
      <c r="A148" s="28" t="s">
        <v>838</v>
      </c>
      <c r="B148" s="35" t="b">
        <v>1</v>
      </c>
      <c r="C148" s="6" t="s">
        <v>417</v>
      </c>
      <c r="D148" s="2" t="s">
        <v>444</v>
      </c>
      <c r="E148">
        <v>0</v>
      </c>
      <c r="F148" s="2" t="s">
        <v>471</v>
      </c>
      <c r="G148" s="2" t="s">
        <v>473</v>
      </c>
      <c r="H148" s="2" t="s">
        <v>473</v>
      </c>
      <c r="I148" s="2" t="s">
        <v>494</v>
      </c>
      <c r="J148" s="2"/>
      <c r="K148" s="2"/>
      <c r="L148" s="2"/>
      <c r="M148" s="2"/>
      <c r="N148" s="2"/>
      <c r="O148" s="2"/>
      <c r="P148" s="2" t="b">
        <v>1</v>
      </c>
      <c r="Q148" s="13" t="s">
        <v>631</v>
      </c>
      <c r="S148" s="2" t="s">
        <v>473</v>
      </c>
    </row>
    <row r="149" spans="1:19">
      <c r="A149" s="28" t="s">
        <v>839</v>
      </c>
      <c r="B149" s="35" t="b">
        <v>1</v>
      </c>
      <c r="C149" s="6" t="s">
        <v>417</v>
      </c>
      <c r="D149" s="2" t="s">
        <v>445</v>
      </c>
      <c r="E149">
        <v>0</v>
      </c>
      <c r="F149" s="2" t="s">
        <v>471</v>
      </c>
      <c r="G149" s="2" t="s">
        <v>473</v>
      </c>
      <c r="H149" s="2" t="s">
        <v>473</v>
      </c>
      <c r="I149" s="2" t="s">
        <v>494</v>
      </c>
      <c r="J149" s="2"/>
      <c r="K149" s="2"/>
      <c r="L149" s="2"/>
      <c r="M149" s="2"/>
      <c r="N149" s="2"/>
      <c r="O149" s="2"/>
      <c r="P149" s="2" t="b">
        <v>1</v>
      </c>
      <c r="Q149" s="13" t="s">
        <v>643</v>
      </c>
      <c r="S149" s="2" t="s">
        <v>473</v>
      </c>
    </row>
    <row r="150" spans="1:19">
      <c r="A150" s="28" t="s">
        <v>840</v>
      </c>
      <c r="B150" s="35" t="b">
        <v>1</v>
      </c>
      <c r="C150" s="6" t="s">
        <v>417</v>
      </c>
      <c r="D150" s="2" t="s">
        <v>446</v>
      </c>
      <c r="E150">
        <v>0</v>
      </c>
      <c r="F150" s="2" t="s">
        <v>471</v>
      </c>
      <c r="G150" s="2" t="s">
        <v>473</v>
      </c>
      <c r="H150" s="2" t="s">
        <v>473</v>
      </c>
      <c r="I150" s="2" t="s">
        <v>494</v>
      </c>
      <c r="J150" s="2"/>
      <c r="K150" s="2"/>
      <c r="L150" s="2"/>
      <c r="M150" s="2"/>
      <c r="N150" s="2"/>
      <c r="O150" s="2"/>
      <c r="P150" s="2" t="b">
        <v>1</v>
      </c>
      <c r="Q150" s="13" t="s">
        <v>644</v>
      </c>
      <c r="S150" s="2" t="s">
        <v>473</v>
      </c>
    </row>
    <row r="151" spans="1:19">
      <c r="A151" s="28" t="s">
        <v>841</v>
      </c>
      <c r="B151" s="35" t="b">
        <v>1</v>
      </c>
      <c r="C151" s="6" t="s">
        <v>417</v>
      </c>
      <c r="D151" s="2" t="s">
        <v>447</v>
      </c>
      <c r="E151">
        <v>0</v>
      </c>
      <c r="F151" s="2" t="s">
        <v>471</v>
      </c>
      <c r="G151" s="2" t="s">
        <v>473</v>
      </c>
      <c r="H151" s="2" t="s">
        <v>473</v>
      </c>
      <c r="I151" s="2" t="s">
        <v>494</v>
      </c>
      <c r="J151" s="2"/>
      <c r="K151" s="2"/>
      <c r="L151" s="2"/>
      <c r="M151" s="2"/>
      <c r="N151" s="2"/>
      <c r="O151" s="2"/>
      <c r="P151" s="2" t="b">
        <v>1</v>
      </c>
      <c r="Q151" s="13">
        <v>0</v>
      </c>
      <c r="S151" s="2" t="s">
        <v>473</v>
      </c>
    </row>
    <row r="152" spans="1:19">
      <c r="A152" s="28" t="s">
        <v>842</v>
      </c>
      <c r="B152" s="35" t="b">
        <v>1</v>
      </c>
      <c r="C152" s="6" t="s">
        <v>417</v>
      </c>
      <c r="D152" s="2" t="s">
        <v>448</v>
      </c>
      <c r="E152">
        <v>0</v>
      </c>
      <c r="F152" s="2" t="s">
        <v>471</v>
      </c>
      <c r="G152" s="2" t="s">
        <v>473</v>
      </c>
      <c r="H152" s="2" t="s">
        <v>473</v>
      </c>
      <c r="I152" s="2" t="s">
        <v>494</v>
      </c>
      <c r="J152" s="2"/>
      <c r="K152" s="2"/>
      <c r="L152" s="2"/>
      <c r="M152" s="2"/>
      <c r="N152" s="2"/>
      <c r="O152" s="2"/>
      <c r="P152" s="2" t="b">
        <v>1</v>
      </c>
      <c r="Q152" s="13" t="s">
        <v>645</v>
      </c>
      <c r="S152" s="2" t="s">
        <v>473</v>
      </c>
    </row>
    <row r="153" spans="1:19">
      <c r="A153" s="28" t="s">
        <v>843</v>
      </c>
      <c r="B153" s="35" t="b">
        <v>1</v>
      </c>
      <c r="C153" s="6" t="s">
        <v>417</v>
      </c>
      <c r="D153" s="2" t="s">
        <v>449</v>
      </c>
      <c r="E153">
        <v>0</v>
      </c>
      <c r="F153" s="2" t="s">
        <v>471</v>
      </c>
      <c r="G153" s="2" t="s">
        <v>473</v>
      </c>
      <c r="H153" s="2" t="s">
        <v>473</v>
      </c>
      <c r="I153" s="2" t="s">
        <v>494</v>
      </c>
      <c r="J153" s="2"/>
      <c r="K153" s="2"/>
      <c r="L153" s="2"/>
      <c r="M153" s="2"/>
      <c r="N153" s="2"/>
      <c r="O153" s="2"/>
      <c r="P153" s="2" t="b">
        <v>1</v>
      </c>
      <c r="Q153" s="13" t="s">
        <v>646</v>
      </c>
      <c r="S153" s="2" t="s">
        <v>473</v>
      </c>
    </row>
    <row r="154" spans="1:19">
      <c r="A154" s="28" t="s">
        <v>844</v>
      </c>
      <c r="B154" s="35" t="b">
        <v>1</v>
      </c>
      <c r="C154" s="6" t="s">
        <v>417</v>
      </c>
      <c r="D154" s="2" t="s">
        <v>450</v>
      </c>
      <c r="E154">
        <v>0</v>
      </c>
      <c r="F154" s="2" t="s">
        <v>471</v>
      </c>
      <c r="G154" s="2" t="s">
        <v>473</v>
      </c>
      <c r="H154" s="2" t="s">
        <v>473</v>
      </c>
      <c r="I154" s="2" t="s">
        <v>494</v>
      </c>
      <c r="J154" s="2"/>
      <c r="K154" s="2"/>
      <c r="L154" s="2"/>
      <c r="M154" s="2"/>
      <c r="N154" s="2"/>
      <c r="O154" s="2"/>
      <c r="P154" s="2" t="b">
        <v>1</v>
      </c>
      <c r="Q154" s="13" t="s">
        <v>631</v>
      </c>
      <c r="S154" s="2" t="s">
        <v>473</v>
      </c>
    </row>
    <row r="155" spans="1:19">
      <c r="A155" s="28" t="s">
        <v>845</v>
      </c>
      <c r="B155" s="35" t="b">
        <v>1</v>
      </c>
      <c r="C155" s="6" t="s">
        <v>417</v>
      </c>
      <c r="D155" s="2" t="s">
        <v>451</v>
      </c>
      <c r="E155">
        <v>0</v>
      </c>
      <c r="F155" s="2" t="s">
        <v>471</v>
      </c>
      <c r="G155" s="2" t="s">
        <v>473</v>
      </c>
      <c r="H155" s="2" t="s">
        <v>473</v>
      </c>
      <c r="I155" s="2" t="s">
        <v>494</v>
      </c>
      <c r="J155" s="2"/>
      <c r="K155" s="2"/>
      <c r="L155" s="2"/>
      <c r="M155" s="2"/>
      <c r="N155" s="2"/>
      <c r="O155" s="2"/>
      <c r="P155" s="2" t="b">
        <v>1</v>
      </c>
      <c r="Q155" s="13" t="s">
        <v>647</v>
      </c>
      <c r="S155" s="2" t="s">
        <v>473</v>
      </c>
    </row>
    <row r="156" spans="1:19" s="11" customFormat="1">
      <c r="A156" s="28" t="s">
        <v>846</v>
      </c>
      <c r="B156" s="35" t="b">
        <v>1</v>
      </c>
      <c r="C156" s="6" t="s">
        <v>417</v>
      </c>
      <c r="D156" s="2" t="s">
        <v>452</v>
      </c>
      <c r="E156">
        <v>0</v>
      </c>
      <c r="F156" s="2" t="s">
        <v>471</v>
      </c>
      <c r="G156" s="2" t="s">
        <v>473</v>
      </c>
      <c r="H156" s="2" t="s">
        <v>473</v>
      </c>
      <c r="I156" s="2" t="s">
        <v>494</v>
      </c>
      <c r="J156" s="2"/>
      <c r="K156" s="2"/>
      <c r="L156" s="2"/>
      <c r="M156" s="2"/>
      <c r="N156" s="2"/>
      <c r="O156" s="2"/>
      <c r="P156" s="2" t="b">
        <v>1</v>
      </c>
      <c r="Q156" s="13" t="s">
        <v>648</v>
      </c>
      <c r="R156"/>
      <c r="S156" s="2" t="s">
        <v>473</v>
      </c>
    </row>
    <row r="157" spans="1:19">
      <c r="A157" s="28" t="s">
        <v>847</v>
      </c>
      <c r="B157" s="35" t="b">
        <v>1</v>
      </c>
      <c r="C157" s="6" t="s">
        <v>417</v>
      </c>
      <c r="D157" s="2" t="s">
        <v>453</v>
      </c>
      <c r="E157">
        <v>0</v>
      </c>
      <c r="F157" s="2" t="s">
        <v>471</v>
      </c>
      <c r="G157" s="2" t="s">
        <v>473</v>
      </c>
      <c r="H157" s="2" t="s">
        <v>473</v>
      </c>
      <c r="I157" s="2" t="s">
        <v>494</v>
      </c>
      <c r="J157" s="2"/>
      <c r="K157" s="2"/>
      <c r="L157" s="2"/>
      <c r="M157" s="2"/>
      <c r="N157" s="2"/>
      <c r="O157" s="2"/>
      <c r="P157" s="2" t="b">
        <v>1</v>
      </c>
      <c r="Q157" s="13" t="s">
        <v>631</v>
      </c>
      <c r="S157" s="2" t="s">
        <v>473</v>
      </c>
    </row>
    <row r="158" spans="1:19">
      <c r="A158" s="28" t="s">
        <v>848</v>
      </c>
      <c r="B158" s="35" t="b">
        <v>1</v>
      </c>
      <c r="C158" s="6" t="s">
        <v>417</v>
      </c>
      <c r="D158" s="2" t="s">
        <v>454</v>
      </c>
      <c r="E158">
        <v>0</v>
      </c>
      <c r="F158" s="2" t="s">
        <v>471</v>
      </c>
      <c r="G158" s="2" t="s">
        <v>473</v>
      </c>
      <c r="H158" s="2" t="s">
        <v>473</v>
      </c>
      <c r="I158" s="2" t="s">
        <v>494</v>
      </c>
      <c r="J158" s="2"/>
      <c r="K158" s="2"/>
      <c r="L158" s="2"/>
      <c r="M158" s="2"/>
      <c r="N158" s="2"/>
      <c r="O158" s="2"/>
      <c r="P158" s="2" t="b">
        <v>1</v>
      </c>
      <c r="Q158" s="13" t="s">
        <v>631</v>
      </c>
      <c r="S158" s="2" t="s">
        <v>473</v>
      </c>
    </row>
    <row r="159" spans="1:19">
      <c r="A159" s="28" t="s">
        <v>849</v>
      </c>
      <c r="B159" s="35" t="b">
        <v>1</v>
      </c>
      <c r="C159" s="6" t="s">
        <v>417</v>
      </c>
      <c r="D159" s="2" t="s">
        <v>455</v>
      </c>
      <c r="E159">
        <v>0</v>
      </c>
      <c r="F159" s="2" t="s">
        <v>471</v>
      </c>
      <c r="G159" s="2" t="s">
        <v>473</v>
      </c>
      <c r="H159" s="2" t="s">
        <v>473</v>
      </c>
      <c r="I159" s="2" t="s">
        <v>494</v>
      </c>
      <c r="J159" s="2"/>
      <c r="K159" s="2"/>
      <c r="L159" s="2"/>
      <c r="M159" s="2"/>
      <c r="N159" s="2"/>
      <c r="O159" s="2"/>
      <c r="P159" s="2" t="b">
        <v>1</v>
      </c>
      <c r="Q159" s="13" t="s">
        <v>646</v>
      </c>
      <c r="S159" s="2" t="s">
        <v>473</v>
      </c>
    </row>
    <row r="160" spans="1:19">
      <c r="A160" s="28" t="s">
        <v>850</v>
      </c>
      <c r="B160" s="35" t="b">
        <v>1</v>
      </c>
      <c r="C160" s="6" t="s">
        <v>417</v>
      </c>
      <c r="D160" s="2" t="s">
        <v>456</v>
      </c>
      <c r="E160">
        <v>0</v>
      </c>
      <c r="F160" s="2" t="s">
        <v>471</v>
      </c>
      <c r="G160" s="2" t="s">
        <v>473</v>
      </c>
      <c r="H160" s="2" t="s">
        <v>473</v>
      </c>
      <c r="I160" s="2" t="s">
        <v>494</v>
      </c>
      <c r="J160" s="2"/>
      <c r="K160" s="2"/>
      <c r="L160" s="2"/>
      <c r="M160" s="2"/>
      <c r="N160" s="2"/>
      <c r="O160" s="2"/>
      <c r="P160" s="2" t="b">
        <v>1</v>
      </c>
      <c r="Q160" s="13" t="s">
        <v>631</v>
      </c>
      <c r="S160" s="2" t="s">
        <v>473</v>
      </c>
    </row>
    <row r="161" spans="1:19">
      <c r="A161" s="28" t="s">
        <v>851</v>
      </c>
      <c r="B161" s="35" t="b">
        <v>1</v>
      </c>
      <c r="C161" s="6" t="s">
        <v>417</v>
      </c>
      <c r="D161" s="2" t="s">
        <v>457</v>
      </c>
      <c r="E161">
        <v>0</v>
      </c>
      <c r="F161" s="2" t="s">
        <v>471</v>
      </c>
      <c r="G161" s="2" t="s">
        <v>473</v>
      </c>
      <c r="H161" s="2" t="s">
        <v>473</v>
      </c>
      <c r="I161" s="2" t="s">
        <v>494</v>
      </c>
      <c r="J161" s="2"/>
      <c r="K161" s="2"/>
      <c r="L161" s="2"/>
      <c r="M161" s="2"/>
      <c r="N161" s="2"/>
      <c r="O161" s="2"/>
      <c r="P161" s="2" t="b">
        <v>1</v>
      </c>
      <c r="Q161" s="13" t="s">
        <v>647</v>
      </c>
      <c r="S161" s="2" t="s">
        <v>473</v>
      </c>
    </row>
    <row r="162" spans="1:19">
      <c r="A162" s="28" t="s">
        <v>852</v>
      </c>
      <c r="B162" s="35" t="b">
        <v>1</v>
      </c>
      <c r="C162" s="6" t="s">
        <v>417</v>
      </c>
      <c r="D162" s="2" t="s">
        <v>458</v>
      </c>
      <c r="E162">
        <v>0</v>
      </c>
      <c r="F162" s="2" t="s">
        <v>471</v>
      </c>
      <c r="G162" s="2" t="s">
        <v>473</v>
      </c>
      <c r="H162" s="2" t="s">
        <v>473</v>
      </c>
      <c r="I162" s="2" t="s">
        <v>494</v>
      </c>
      <c r="J162" s="2"/>
      <c r="K162" s="2"/>
      <c r="L162" s="2"/>
      <c r="M162" s="2"/>
      <c r="N162" s="2"/>
      <c r="O162" s="2"/>
      <c r="P162" s="2" t="b">
        <v>1</v>
      </c>
      <c r="Q162" s="12" t="s">
        <v>648</v>
      </c>
      <c r="S162" s="2" t="s">
        <v>473</v>
      </c>
    </row>
    <row r="163" spans="1:19">
      <c r="A163" s="28" t="s">
        <v>853</v>
      </c>
      <c r="B163" s="35" t="b">
        <v>1</v>
      </c>
      <c r="C163" s="6" t="s">
        <v>417</v>
      </c>
      <c r="D163" s="2" t="s">
        <v>459</v>
      </c>
      <c r="E163">
        <v>0</v>
      </c>
      <c r="F163" s="2" t="s">
        <v>471</v>
      </c>
      <c r="G163" s="2" t="s">
        <v>473</v>
      </c>
      <c r="H163" s="2" t="s">
        <v>473</v>
      </c>
      <c r="I163" s="2" t="s">
        <v>494</v>
      </c>
      <c r="J163" s="2"/>
      <c r="K163" s="2"/>
      <c r="L163" s="2"/>
      <c r="M163" s="2"/>
      <c r="N163" s="2"/>
      <c r="O163" s="2"/>
      <c r="P163" s="2" t="b">
        <v>1</v>
      </c>
      <c r="Q163" s="12" t="s">
        <v>631</v>
      </c>
      <c r="S163" s="2" t="s">
        <v>473</v>
      </c>
    </row>
    <row r="164" spans="1:19">
      <c r="A164" s="28" t="s">
        <v>1383</v>
      </c>
      <c r="B164" s="2" t="b">
        <v>1</v>
      </c>
      <c r="C164" s="6" t="s">
        <v>417</v>
      </c>
      <c r="D164" s="2" t="s">
        <v>1384</v>
      </c>
      <c r="E164">
        <v>0</v>
      </c>
      <c r="F164" s="2" t="s">
        <v>696</v>
      </c>
      <c r="G164" s="2" t="s">
        <v>499</v>
      </c>
      <c r="H164" s="2" t="s">
        <v>499</v>
      </c>
      <c r="I164" s="2" t="s">
        <v>495</v>
      </c>
      <c r="J164" s="2">
        <v>5</v>
      </c>
      <c r="K164" s="2"/>
      <c r="L164" s="2"/>
      <c r="M164" s="2"/>
      <c r="N164" s="2"/>
      <c r="O164" s="2"/>
      <c r="P164" s="34" t="b">
        <v>0</v>
      </c>
      <c r="S164" s="2"/>
    </row>
    <row r="165" spans="1:19">
      <c r="A165" s="28" t="s">
        <v>1383</v>
      </c>
      <c r="B165" s="2" t="b">
        <v>1</v>
      </c>
      <c r="C165" s="6" t="s">
        <v>417</v>
      </c>
      <c r="D165" s="2" t="s">
        <v>1385</v>
      </c>
      <c r="E165">
        <v>1</v>
      </c>
      <c r="F165" s="2" t="s">
        <v>696</v>
      </c>
      <c r="G165" s="2" t="s">
        <v>499</v>
      </c>
      <c r="H165" s="2" t="s">
        <v>499</v>
      </c>
      <c r="I165" s="2" t="s">
        <v>495</v>
      </c>
      <c r="J165" s="2">
        <v>0</v>
      </c>
      <c r="K165" s="2"/>
      <c r="L165" s="2"/>
      <c r="M165" s="2"/>
      <c r="N165" s="2"/>
      <c r="O165" s="2"/>
      <c r="P165" s="34" t="b">
        <v>0</v>
      </c>
      <c r="S165" s="2"/>
    </row>
    <row r="166" spans="1:19">
      <c r="A166" s="14" t="s">
        <v>530</v>
      </c>
      <c r="B166" s="2" t="b">
        <v>1</v>
      </c>
      <c r="C166" s="5" t="s">
        <v>541</v>
      </c>
      <c r="D166" s="2" t="s">
        <v>519</v>
      </c>
      <c r="E166">
        <v>0</v>
      </c>
      <c r="F166" s="2" t="s">
        <v>471</v>
      </c>
      <c r="G166" s="2"/>
      <c r="I166" s="2" t="s">
        <v>494</v>
      </c>
      <c r="L166">
        <v>2</v>
      </c>
      <c r="P166" s="34" t="b">
        <v>0</v>
      </c>
    </row>
    <row r="167" spans="1:19">
      <c r="A167" s="14" t="s">
        <v>530</v>
      </c>
      <c r="B167" s="2" t="b">
        <v>1</v>
      </c>
      <c r="C167" s="5" t="s">
        <v>541</v>
      </c>
      <c r="D167" s="2" t="s">
        <v>520</v>
      </c>
      <c r="E167">
        <v>1</v>
      </c>
      <c r="F167" s="2" t="s">
        <v>471</v>
      </c>
      <c r="G167" s="2"/>
      <c r="I167" s="2" t="s">
        <v>494</v>
      </c>
      <c r="P167" s="34" t="b">
        <v>0</v>
      </c>
    </row>
    <row r="168" spans="1:19">
      <c r="A168" s="14" t="s">
        <v>530</v>
      </c>
      <c r="B168" s="2" t="b">
        <v>1</v>
      </c>
      <c r="C168" s="5" t="s">
        <v>541</v>
      </c>
      <c r="D168" s="2" t="s">
        <v>484</v>
      </c>
      <c r="E168">
        <v>2</v>
      </c>
      <c r="F168" s="2" t="s">
        <v>472</v>
      </c>
      <c r="G168" s="2"/>
      <c r="I168" s="2" t="s">
        <v>495</v>
      </c>
      <c r="J168">
        <v>0</v>
      </c>
      <c r="P168" s="34" t="b">
        <v>0</v>
      </c>
      <c r="R168" t="s">
        <v>694</v>
      </c>
    </row>
    <row r="169" spans="1:19">
      <c r="A169" s="14" t="s">
        <v>530</v>
      </c>
      <c r="B169" s="2" t="b">
        <v>1</v>
      </c>
      <c r="C169" s="5" t="s">
        <v>541</v>
      </c>
      <c r="D169" s="2" t="s">
        <v>485</v>
      </c>
      <c r="E169">
        <v>3</v>
      </c>
      <c r="F169" s="2" t="s">
        <v>472</v>
      </c>
      <c r="G169" s="2"/>
      <c r="I169" s="2" t="s">
        <v>495</v>
      </c>
      <c r="J169">
        <v>6</v>
      </c>
      <c r="P169" s="34" t="b">
        <v>0</v>
      </c>
    </row>
    <row r="170" spans="1:19">
      <c r="A170" s="14" t="s">
        <v>530</v>
      </c>
      <c r="B170" s="2" t="b">
        <v>1</v>
      </c>
      <c r="C170" s="5" t="s">
        <v>541</v>
      </c>
      <c r="D170" s="2" t="s">
        <v>503</v>
      </c>
      <c r="E170">
        <v>4</v>
      </c>
      <c r="F170" s="2" t="s">
        <v>472</v>
      </c>
      <c r="G170" s="2" t="s">
        <v>499</v>
      </c>
      <c r="I170" s="2" t="s">
        <v>495</v>
      </c>
      <c r="J170">
        <v>1</v>
      </c>
      <c r="L170">
        <v>5</v>
      </c>
      <c r="P170" s="34" t="b">
        <v>0</v>
      </c>
    </row>
    <row r="171" spans="1:19">
      <c r="A171" s="14" t="s">
        <v>692</v>
      </c>
      <c r="B171" s="2" t="b">
        <v>1</v>
      </c>
      <c r="C171" s="5" t="s">
        <v>541</v>
      </c>
      <c r="D171" s="2" t="s">
        <v>515</v>
      </c>
      <c r="E171">
        <v>0</v>
      </c>
      <c r="F171" s="2" t="s">
        <v>471</v>
      </c>
      <c r="I171" s="2" t="s">
        <v>494</v>
      </c>
      <c r="P171" s="34" t="b">
        <v>0</v>
      </c>
    </row>
    <row r="172" spans="1:19">
      <c r="A172" s="14" t="s">
        <v>692</v>
      </c>
      <c r="B172" s="2" t="b">
        <v>1</v>
      </c>
      <c r="C172" s="5" t="s">
        <v>541</v>
      </c>
      <c r="D172" t="s">
        <v>476</v>
      </c>
      <c r="E172">
        <v>1</v>
      </c>
      <c r="F172" s="2" t="s">
        <v>472</v>
      </c>
      <c r="G172" s="2" t="s">
        <v>499</v>
      </c>
      <c r="H172" t="s">
        <v>476</v>
      </c>
      <c r="I172" s="2" t="s">
        <v>495</v>
      </c>
      <c r="J172">
        <v>2</v>
      </c>
      <c r="L172">
        <v>5</v>
      </c>
      <c r="P172" s="34" t="b">
        <v>0</v>
      </c>
    </row>
    <row r="173" spans="1:19">
      <c r="A173" s="14" t="s">
        <v>693</v>
      </c>
      <c r="B173" s="2" t="b">
        <v>1</v>
      </c>
      <c r="C173" s="5" t="s">
        <v>541</v>
      </c>
      <c r="D173" s="2" t="s">
        <v>515</v>
      </c>
      <c r="E173">
        <v>0</v>
      </c>
      <c r="F173" s="2" t="s">
        <v>471</v>
      </c>
      <c r="I173" s="2" t="s">
        <v>494</v>
      </c>
      <c r="P173" s="34" t="b">
        <v>0</v>
      </c>
    </row>
    <row r="174" spans="1:19">
      <c r="A174" s="14" t="s">
        <v>693</v>
      </c>
      <c r="B174" s="2" t="b">
        <v>1</v>
      </c>
      <c r="C174" s="5" t="s">
        <v>541</v>
      </c>
      <c r="D174" s="2" t="s">
        <v>697</v>
      </c>
      <c r="E174">
        <v>1</v>
      </c>
      <c r="F174" s="2" t="s">
        <v>696</v>
      </c>
      <c r="I174" s="2" t="s">
        <v>494</v>
      </c>
      <c r="P174" s="34" t="b">
        <v>0</v>
      </c>
    </row>
    <row r="175" spans="1:19">
      <c r="A175" s="14" t="s">
        <v>693</v>
      </c>
      <c r="B175" s="2" t="b">
        <v>1</v>
      </c>
      <c r="C175" s="5" t="s">
        <v>541</v>
      </c>
      <c r="D175" t="s">
        <v>476</v>
      </c>
      <c r="E175">
        <v>2</v>
      </c>
      <c r="F175" s="2" t="s">
        <v>472</v>
      </c>
      <c r="G175" s="2" t="s">
        <v>499</v>
      </c>
      <c r="H175" t="s">
        <v>476</v>
      </c>
      <c r="I175" s="2" t="s">
        <v>495</v>
      </c>
      <c r="J175">
        <v>0</v>
      </c>
      <c r="L175">
        <v>5</v>
      </c>
      <c r="P175" s="34" t="b">
        <v>0</v>
      </c>
    </row>
    <row r="176" spans="1:19">
      <c r="A176" s="14" t="s">
        <v>531</v>
      </c>
      <c r="B176" s="2" t="b">
        <v>1</v>
      </c>
      <c r="C176" s="5" t="s">
        <v>541</v>
      </c>
      <c r="D176" s="2" t="s">
        <v>519</v>
      </c>
      <c r="E176">
        <v>0</v>
      </c>
      <c r="F176" s="2" t="s">
        <v>471</v>
      </c>
      <c r="G176" s="2"/>
      <c r="I176" s="2" t="s">
        <v>494</v>
      </c>
      <c r="P176" s="34" t="b">
        <v>0</v>
      </c>
    </row>
    <row r="177" spans="1:18">
      <c r="A177" s="14" t="s">
        <v>531</v>
      </c>
      <c r="B177" s="2" t="b">
        <v>1</v>
      </c>
      <c r="C177" s="5" t="s">
        <v>541</v>
      </c>
      <c r="D177" s="2" t="s">
        <v>476</v>
      </c>
      <c r="E177">
        <v>1</v>
      </c>
      <c r="F177" s="2" t="s">
        <v>472</v>
      </c>
      <c r="G177" s="2" t="s">
        <v>499</v>
      </c>
      <c r="I177" s="2" t="s">
        <v>495</v>
      </c>
      <c r="J177">
        <v>0</v>
      </c>
      <c r="L177">
        <v>5</v>
      </c>
      <c r="P177" s="34" t="b">
        <v>0</v>
      </c>
    </row>
    <row r="178" spans="1:18">
      <c r="A178" s="28" t="s">
        <v>1327</v>
      </c>
      <c r="B178" s="2" t="b">
        <v>1</v>
      </c>
      <c r="C178" s="5" t="s">
        <v>541</v>
      </c>
      <c r="D178" s="2" t="s">
        <v>521</v>
      </c>
      <c r="E178">
        <v>0</v>
      </c>
      <c r="F178" s="2" t="s">
        <v>471</v>
      </c>
      <c r="G178" s="2" t="s">
        <v>473</v>
      </c>
      <c r="H178" s="2" t="s">
        <v>473</v>
      </c>
      <c r="I178" s="2" t="s">
        <v>494</v>
      </c>
      <c r="L178">
        <v>10</v>
      </c>
      <c r="P178" s="2" t="b">
        <v>1</v>
      </c>
      <c r="Q178" s="12" t="s">
        <v>602</v>
      </c>
    </row>
    <row r="179" spans="1:18">
      <c r="A179" s="28" t="s">
        <v>556</v>
      </c>
      <c r="B179" s="2" t="b">
        <v>1</v>
      </c>
      <c r="C179" s="5" t="s">
        <v>541</v>
      </c>
      <c r="D179" s="2" t="s">
        <v>522</v>
      </c>
      <c r="E179">
        <v>0</v>
      </c>
      <c r="F179" s="2" t="s">
        <v>471</v>
      </c>
      <c r="G179" s="2" t="s">
        <v>473</v>
      </c>
      <c r="H179" s="2" t="s">
        <v>473</v>
      </c>
      <c r="I179" s="2" t="s">
        <v>494</v>
      </c>
      <c r="P179" s="2" t="b">
        <v>1</v>
      </c>
      <c r="Q179" s="12" t="s">
        <v>649</v>
      </c>
    </row>
    <row r="180" spans="1:18">
      <c r="A180" s="28" t="s">
        <v>1231</v>
      </c>
      <c r="B180" s="2" t="b">
        <v>1</v>
      </c>
      <c r="C180" s="5" t="s">
        <v>541</v>
      </c>
      <c r="D180" s="2" t="s">
        <v>523</v>
      </c>
      <c r="E180">
        <v>0</v>
      </c>
      <c r="F180" s="2" t="s">
        <v>471</v>
      </c>
      <c r="G180" s="2"/>
      <c r="H180" s="2" t="s">
        <v>509</v>
      </c>
      <c r="I180" s="2" t="s">
        <v>494</v>
      </c>
      <c r="P180" s="2" t="b">
        <v>1</v>
      </c>
      <c r="Q180" s="12" t="s">
        <v>201</v>
      </c>
    </row>
    <row r="181" spans="1:18">
      <c r="A181" s="28" t="s">
        <v>1231</v>
      </c>
      <c r="B181" s="2" t="b">
        <v>1</v>
      </c>
      <c r="C181" s="5" t="s">
        <v>541</v>
      </c>
      <c r="E181">
        <v>1</v>
      </c>
      <c r="F181" s="2" t="s">
        <v>510</v>
      </c>
      <c r="G181" s="2" t="s">
        <v>509</v>
      </c>
      <c r="H181" s="2" t="s">
        <v>509</v>
      </c>
      <c r="I181" s="2" t="s">
        <v>509</v>
      </c>
      <c r="P181" s="2" t="b">
        <v>1</v>
      </c>
      <c r="Q181" s="12" t="s">
        <v>201</v>
      </c>
    </row>
    <row r="182" spans="1:18">
      <c r="A182" s="28" t="s">
        <v>557</v>
      </c>
      <c r="B182" s="2" t="b">
        <v>1</v>
      </c>
      <c r="C182" s="5" t="s">
        <v>541</v>
      </c>
      <c r="D182" s="2" t="s">
        <v>524</v>
      </c>
      <c r="E182">
        <v>0</v>
      </c>
      <c r="F182" s="2" t="s">
        <v>471</v>
      </c>
      <c r="G182" s="2"/>
      <c r="H182" s="2" t="s">
        <v>509</v>
      </c>
      <c r="I182" s="2" t="s">
        <v>494</v>
      </c>
      <c r="P182" s="2" t="b">
        <v>1</v>
      </c>
      <c r="Q182" s="12" t="s">
        <v>650</v>
      </c>
    </row>
    <row r="183" spans="1:18">
      <c r="A183" s="28" t="s">
        <v>557</v>
      </c>
      <c r="B183" s="2" t="b">
        <v>1</v>
      </c>
      <c r="C183" s="5" t="s">
        <v>541</v>
      </c>
      <c r="E183">
        <v>1</v>
      </c>
      <c r="F183" s="2" t="s">
        <v>510</v>
      </c>
      <c r="G183" s="2" t="s">
        <v>509</v>
      </c>
      <c r="H183" s="2" t="s">
        <v>509</v>
      </c>
      <c r="I183" s="2" t="s">
        <v>509</v>
      </c>
      <c r="P183" s="2" t="b">
        <v>1</v>
      </c>
      <c r="Q183" s="12" t="s">
        <v>650</v>
      </c>
    </row>
    <row r="184" spans="1:18">
      <c r="A184" s="28" t="s">
        <v>1219</v>
      </c>
      <c r="B184" s="2" t="b">
        <v>1</v>
      </c>
      <c r="C184" s="5" t="s">
        <v>541</v>
      </c>
      <c r="D184" s="2" t="s">
        <v>525</v>
      </c>
      <c r="E184">
        <v>0</v>
      </c>
      <c r="F184" s="2" t="s">
        <v>471</v>
      </c>
      <c r="G184" s="2" t="s">
        <v>473</v>
      </c>
      <c r="H184" s="2" t="s">
        <v>473</v>
      </c>
      <c r="I184" s="2" t="s">
        <v>494</v>
      </c>
      <c r="P184" s="2" t="b">
        <v>1</v>
      </c>
      <c r="Q184" s="12" t="s">
        <v>651</v>
      </c>
    </row>
    <row r="185" spans="1:18">
      <c r="A185" s="28" t="s">
        <v>1220</v>
      </c>
      <c r="B185" s="2" t="b">
        <v>1</v>
      </c>
      <c r="C185" s="5" t="s">
        <v>541</v>
      </c>
      <c r="D185" s="2" t="s">
        <v>526</v>
      </c>
      <c r="E185">
        <v>0</v>
      </c>
      <c r="F185" s="2" t="s">
        <v>471</v>
      </c>
      <c r="G185" s="2" t="s">
        <v>473</v>
      </c>
      <c r="H185" s="2" t="s">
        <v>473</v>
      </c>
      <c r="I185" s="2" t="s">
        <v>494</v>
      </c>
      <c r="P185" s="2" t="b">
        <v>1</v>
      </c>
      <c r="Q185" s="12" t="s">
        <v>652</v>
      </c>
    </row>
    <row r="186" spans="1:18">
      <c r="A186" s="28" t="s">
        <v>558</v>
      </c>
      <c r="B186" s="2" t="b">
        <v>1</v>
      </c>
      <c r="C186" s="5" t="s">
        <v>541</v>
      </c>
      <c r="D186" s="2" t="s">
        <v>527</v>
      </c>
      <c r="E186">
        <v>0</v>
      </c>
      <c r="F186" s="2" t="s">
        <v>471</v>
      </c>
      <c r="G186" s="2" t="s">
        <v>473</v>
      </c>
      <c r="H186" s="2" t="s">
        <v>473</v>
      </c>
      <c r="I186" s="2" t="s">
        <v>494</v>
      </c>
      <c r="P186" s="2" t="b">
        <v>1</v>
      </c>
      <c r="Q186" s="12" t="s">
        <v>618</v>
      </c>
    </row>
    <row r="187" spans="1:18">
      <c r="A187" s="28" t="s">
        <v>559</v>
      </c>
      <c r="B187" s="2" t="b">
        <v>1</v>
      </c>
      <c r="C187" s="4" t="s">
        <v>541</v>
      </c>
      <c r="D187" s="4" t="s">
        <v>654</v>
      </c>
      <c r="E187" s="4">
        <v>0</v>
      </c>
      <c r="F187" s="4" t="s">
        <v>471</v>
      </c>
      <c r="G187" s="4"/>
      <c r="H187" s="4"/>
      <c r="I187" s="4" t="s">
        <v>494</v>
      </c>
      <c r="J187" s="4"/>
      <c r="K187" s="4"/>
      <c r="L187" s="4">
        <v>3</v>
      </c>
      <c r="M187" s="4"/>
      <c r="N187" s="4"/>
      <c r="O187" s="4"/>
      <c r="P187" s="34" t="b">
        <v>0</v>
      </c>
      <c r="Q187" s="4" t="s">
        <v>653</v>
      </c>
      <c r="R187" s="4"/>
    </row>
    <row r="188" spans="1:18">
      <c r="A188" s="28" t="s">
        <v>559</v>
      </c>
      <c r="B188" s="2" t="b">
        <v>1</v>
      </c>
      <c r="C188" s="4" t="s">
        <v>541</v>
      </c>
      <c r="D188" s="4"/>
      <c r="E188" s="4">
        <v>1</v>
      </c>
      <c r="F188" s="4" t="s">
        <v>510</v>
      </c>
      <c r="G188" s="4" t="s">
        <v>509</v>
      </c>
      <c r="H188" s="4" t="s">
        <v>509</v>
      </c>
      <c r="I188" s="4" t="s">
        <v>509</v>
      </c>
      <c r="J188" s="4"/>
      <c r="K188" s="4"/>
      <c r="L188" s="4"/>
      <c r="M188" s="4"/>
      <c r="N188" s="4"/>
      <c r="O188" s="4"/>
      <c r="P188" s="34" t="b">
        <v>0</v>
      </c>
      <c r="Q188" s="4" t="s">
        <v>653</v>
      </c>
      <c r="R188" s="4"/>
    </row>
    <row r="189" spans="1:18">
      <c r="A189" s="28" t="s">
        <v>560</v>
      </c>
      <c r="B189" s="2" t="b">
        <v>1</v>
      </c>
      <c r="C189" s="5" t="s">
        <v>541</v>
      </c>
      <c r="D189" s="2" t="s">
        <v>515</v>
      </c>
      <c r="E189">
        <v>0</v>
      </c>
      <c r="F189" s="2" t="s">
        <v>471</v>
      </c>
      <c r="G189" s="2" t="s">
        <v>364</v>
      </c>
      <c r="I189" s="2" t="s">
        <v>494</v>
      </c>
      <c r="M189" t="s">
        <v>905</v>
      </c>
      <c r="P189" s="34" t="b">
        <v>0</v>
      </c>
      <c r="Q189" s="12" t="s">
        <v>655</v>
      </c>
    </row>
    <row r="190" spans="1:18">
      <c r="A190" s="28" t="s">
        <v>560</v>
      </c>
      <c r="B190" s="2" t="b">
        <v>1</v>
      </c>
      <c r="C190" s="32" t="s">
        <v>541</v>
      </c>
      <c r="D190" s="2" t="s">
        <v>528</v>
      </c>
      <c r="E190">
        <v>1</v>
      </c>
      <c r="F190" s="2" t="s">
        <v>474</v>
      </c>
      <c r="G190" s="2" t="s">
        <v>364</v>
      </c>
      <c r="H190" s="2" t="s">
        <v>364</v>
      </c>
      <c r="I190" s="2" t="s">
        <v>364</v>
      </c>
      <c r="M190" t="s">
        <v>905</v>
      </c>
      <c r="P190" s="34" t="b">
        <v>0</v>
      </c>
      <c r="Q190" s="12" t="s">
        <v>655</v>
      </c>
    </row>
    <row r="191" spans="1:18">
      <c r="A191" t="s">
        <v>561</v>
      </c>
      <c r="B191" s="2" t="b">
        <v>1</v>
      </c>
      <c r="C191" s="5" t="s">
        <v>541</v>
      </c>
      <c r="D191" s="2" t="s">
        <v>515</v>
      </c>
      <c r="E191">
        <v>0</v>
      </c>
      <c r="F191" s="2" t="s">
        <v>471</v>
      </c>
      <c r="G191" s="2" t="s">
        <v>364</v>
      </c>
      <c r="I191" s="2" t="s">
        <v>494</v>
      </c>
      <c r="M191" t="s">
        <v>905</v>
      </c>
      <c r="P191" s="34" t="b">
        <v>0</v>
      </c>
      <c r="Q191" s="12" t="s">
        <v>656</v>
      </c>
    </row>
    <row r="192" spans="1:18">
      <c r="A192" t="s">
        <v>561</v>
      </c>
      <c r="B192" s="2" t="b">
        <v>1</v>
      </c>
      <c r="C192" s="32" t="s">
        <v>541</v>
      </c>
      <c r="D192" s="2" t="s">
        <v>529</v>
      </c>
      <c r="E192">
        <v>1</v>
      </c>
      <c r="F192" s="2" t="s">
        <v>474</v>
      </c>
      <c r="G192" s="2" t="s">
        <v>364</v>
      </c>
      <c r="H192" s="2" t="s">
        <v>364</v>
      </c>
      <c r="I192" s="2" t="s">
        <v>364</v>
      </c>
      <c r="M192" t="s">
        <v>905</v>
      </c>
      <c r="P192" s="34" t="b">
        <v>0</v>
      </c>
      <c r="Q192" s="12" t="s">
        <v>656</v>
      </c>
    </row>
    <row r="193" spans="1:18">
      <c r="A193" s="14" t="s">
        <v>690</v>
      </c>
      <c r="B193" s="2" t="b">
        <v>1</v>
      </c>
      <c r="C193" s="5" t="s">
        <v>541</v>
      </c>
      <c r="D193" s="2" t="s">
        <v>515</v>
      </c>
      <c r="E193">
        <v>0</v>
      </c>
      <c r="F193" s="2" t="s">
        <v>471</v>
      </c>
      <c r="I193" s="2" t="s">
        <v>494</v>
      </c>
      <c r="P193" s="34" t="b">
        <v>0</v>
      </c>
    </row>
    <row r="194" spans="1:18">
      <c r="A194" s="14" t="s">
        <v>690</v>
      </c>
      <c r="B194" s="2" t="b">
        <v>1</v>
      </c>
      <c r="C194" s="5" t="s">
        <v>541</v>
      </c>
      <c r="D194" t="s">
        <v>476</v>
      </c>
      <c r="E194">
        <v>1</v>
      </c>
      <c r="F194" s="2" t="s">
        <v>472</v>
      </c>
      <c r="G194" s="2" t="s">
        <v>499</v>
      </c>
      <c r="H194" t="s">
        <v>476</v>
      </c>
      <c r="I194" s="2" t="s">
        <v>495</v>
      </c>
      <c r="J194">
        <v>6</v>
      </c>
      <c r="L194">
        <v>5</v>
      </c>
      <c r="P194" s="34" t="b">
        <v>0</v>
      </c>
      <c r="R194" t="s">
        <v>670</v>
      </c>
    </row>
    <row r="195" spans="1:18">
      <c r="A195" s="14" t="s">
        <v>689</v>
      </c>
      <c r="B195" s="2" t="b">
        <v>1</v>
      </c>
      <c r="C195" s="5" t="s">
        <v>541</v>
      </c>
      <c r="D195" s="2" t="s">
        <v>515</v>
      </c>
      <c r="E195">
        <v>0</v>
      </c>
      <c r="F195" s="2" t="s">
        <v>471</v>
      </c>
      <c r="I195" s="2" t="s">
        <v>494</v>
      </c>
      <c r="P195" s="34" t="b">
        <v>0</v>
      </c>
    </row>
    <row r="196" spans="1:18" ht="19.5" customHeight="1">
      <c r="A196" s="14" t="s">
        <v>689</v>
      </c>
      <c r="B196" s="2" t="b">
        <v>1</v>
      </c>
      <c r="C196" s="5" t="s">
        <v>541</v>
      </c>
      <c r="D196" s="2" t="s">
        <v>697</v>
      </c>
      <c r="E196">
        <v>1</v>
      </c>
      <c r="F196" s="2" t="s">
        <v>696</v>
      </c>
      <c r="I196" s="2" t="s">
        <v>494</v>
      </c>
      <c r="P196" s="34" t="b">
        <v>0</v>
      </c>
    </row>
    <row r="197" spans="1:18" ht="17.25" customHeight="1">
      <c r="A197" s="14" t="s">
        <v>689</v>
      </c>
      <c r="B197" s="2" t="b">
        <v>1</v>
      </c>
      <c r="C197" s="5" t="s">
        <v>541</v>
      </c>
      <c r="D197" t="s">
        <v>476</v>
      </c>
      <c r="E197">
        <v>2</v>
      </c>
      <c r="F197" s="2" t="s">
        <v>472</v>
      </c>
      <c r="G197" s="2" t="s">
        <v>499</v>
      </c>
      <c r="H197" t="s">
        <v>476</v>
      </c>
      <c r="I197" s="2" t="s">
        <v>495</v>
      </c>
      <c r="J197">
        <v>0</v>
      </c>
      <c r="L197">
        <v>3</v>
      </c>
      <c r="P197" s="34" t="b">
        <v>0</v>
      </c>
    </row>
    <row r="198" spans="1:18">
      <c r="A198" s="14" t="s">
        <v>683</v>
      </c>
      <c r="B198" s="2" t="b">
        <v>1</v>
      </c>
      <c r="C198" s="5" t="s">
        <v>541</v>
      </c>
      <c r="D198" s="2" t="s">
        <v>519</v>
      </c>
      <c r="E198">
        <v>0</v>
      </c>
      <c r="F198" s="2" t="s">
        <v>471</v>
      </c>
      <c r="G198" s="2"/>
      <c r="I198" s="2" t="s">
        <v>494</v>
      </c>
      <c r="P198" s="34" t="b">
        <v>0</v>
      </c>
    </row>
    <row r="199" spans="1:18" ht="15.75" customHeight="1">
      <c r="A199" s="14" t="s">
        <v>683</v>
      </c>
      <c r="B199" s="2" t="b">
        <v>1</v>
      </c>
      <c r="C199" s="5" t="s">
        <v>541</v>
      </c>
      <c r="D199" s="2" t="s">
        <v>520</v>
      </c>
      <c r="E199">
        <v>1</v>
      </c>
      <c r="F199" s="2" t="s">
        <v>471</v>
      </c>
      <c r="G199" s="2"/>
      <c r="I199" s="2" t="s">
        <v>494</v>
      </c>
      <c r="P199" s="34" t="b">
        <v>0</v>
      </c>
    </row>
    <row r="200" spans="1:18">
      <c r="A200" s="14" t="s">
        <v>683</v>
      </c>
      <c r="B200" s="2" t="b">
        <v>1</v>
      </c>
      <c r="C200" s="5" t="s">
        <v>541</v>
      </c>
      <c r="D200" s="2" t="s">
        <v>484</v>
      </c>
      <c r="E200">
        <v>2</v>
      </c>
      <c r="F200" s="2" t="s">
        <v>472</v>
      </c>
      <c r="G200" s="2"/>
      <c r="I200" s="2" t="s">
        <v>495</v>
      </c>
      <c r="J200">
        <v>0</v>
      </c>
      <c r="P200" s="34" t="b">
        <v>0</v>
      </c>
    </row>
    <row r="201" spans="1:18">
      <c r="A201" s="14" t="s">
        <v>683</v>
      </c>
      <c r="B201" s="2" t="b">
        <v>1</v>
      </c>
      <c r="C201" s="5" t="s">
        <v>541</v>
      </c>
      <c r="D201" s="2" t="s">
        <v>485</v>
      </c>
      <c r="E201">
        <v>3</v>
      </c>
      <c r="F201" s="2" t="s">
        <v>472</v>
      </c>
      <c r="G201" s="2"/>
      <c r="I201" s="2" t="s">
        <v>495</v>
      </c>
      <c r="J201">
        <v>6</v>
      </c>
      <c r="P201" s="34" t="b">
        <v>0</v>
      </c>
    </row>
    <row r="202" spans="1:18">
      <c r="A202" s="14" t="s">
        <v>683</v>
      </c>
      <c r="B202" s="2" t="b">
        <v>1</v>
      </c>
      <c r="C202" s="5" t="s">
        <v>541</v>
      </c>
      <c r="D202" s="2" t="s">
        <v>503</v>
      </c>
      <c r="E202">
        <v>4</v>
      </c>
      <c r="F202" s="2" t="s">
        <v>472</v>
      </c>
      <c r="G202" s="2" t="s">
        <v>499</v>
      </c>
      <c r="I202" s="2" t="s">
        <v>495</v>
      </c>
      <c r="J202">
        <v>0</v>
      </c>
      <c r="L202">
        <v>5</v>
      </c>
      <c r="P202" s="34" t="b">
        <v>0</v>
      </c>
    </row>
    <row r="203" spans="1:18">
      <c r="A203" s="14" t="s">
        <v>591</v>
      </c>
      <c r="B203" s="2" t="b">
        <v>1</v>
      </c>
      <c r="C203" s="5" t="s">
        <v>541</v>
      </c>
      <c r="D203" s="2" t="s">
        <v>515</v>
      </c>
      <c r="E203">
        <v>0</v>
      </c>
      <c r="F203" s="2" t="s">
        <v>471</v>
      </c>
      <c r="G203" s="2"/>
      <c r="I203" s="2" t="s">
        <v>494</v>
      </c>
      <c r="P203" s="34" t="b">
        <v>0</v>
      </c>
    </row>
    <row r="204" spans="1:18">
      <c r="A204" s="14" t="s">
        <v>591</v>
      </c>
      <c r="B204" s="2" t="b">
        <v>1</v>
      </c>
      <c r="C204" s="5" t="s">
        <v>541</v>
      </c>
      <c r="D204" s="2" t="s">
        <v>532</v>
      </c>
      <c r="E204">
        <v>1</v>
      </c>
      <c r="F204" s="2" t="s">
        <v>471</v>
      </c>
      <c r="G204" s="2"/>
      <c r="I204" s="2" t="s">
        <v>494</v>
      </c>
      <c r="P204" s="34" t="b">
        <v>0</v>
      </c>
    </row>
    <row r="205" spans="1:18">
      <c r="A205" s="14" t="s">
        <v>591</v>
      </c>
      <c r="B205" s="2" t="b">
        <v>1</v>
      </c>
      <c r="C205" s="5" t="s">
        <v>541</v>
      </c>
      <c r="D205" s="2" t="s">
        <v>476</v>
      </c>
      <c r="E205">
        <v>2</v>
      </c>
      <c r="F205" s="2" t="s">
        <v>472</v>
      </c>
      <c r="G205" s="2" t="s">
        <v>499</v>
      </c>
      <c r="I205" s="2" t="s">
        <v>495</v>
      </c>
      <c r="J205">
        <v>0</v>
      </c>
      <c r="L205">
        <v>3</v>
      </c>
      <c r="P205" s="34" t="b">
        <v>0</v>
      </c>
    </row>
    <row r="206" spans="1:18">
      <c r="A206" s="28" t="s">
        <v>1369</v>
      </c>
      <c r="B206" s="2" t="b">
        <v>1</v>
      </c>
      <c r="C206" s="5" t="s">
        <v>541</v>
      </c>
      <c r="D206" s="2" t="s">
        <v>533</v>
      </c>
      <c r="E206">
        <v>0</v>
      </c>
      <c r="F206" s="2" t="s">
        <v>471</v>
      </c>
      <c r="G206" s="2" t="s">
        <v>473</v>
      </c>
      <c r="I206" s="2" t="s">
        <v>494</v>
      </c>
      <c r="L206">
        <v>5</v>
      </c>
      <c r="P206" s="2" t="b">
        <v>1</v>
      </c>
      <c r="Q206" s="12" t="s">
        <v>657</v>
      </c>
    </row>
    <row r="207" spans="1:18">
      <c r="A207" s="28" t="s">
        <v>1370</v>
      </c>
      <c r="B207" s="2" t="b">
        <v>1</v>
      </c>
      <c r="C207" s="5" t="s">
        <v>541</v>
      </c>
      <c r="D207" s="2" t="s">
        <v>534</v>
      </c>
      <c r="E207">
        <v>1</v>
      </c>
      <c r="F207" s="2" t="s">
        <v>471</v>
      </c>
      <c r="G207" s="2" t="s">
        <v>473</v>
      </c>
      <c r="I207" s="2" t="s">
        <v>494</v>
      </c>
      <c r="P207" s="2" t="b">
        <v>1</v>
      </c>
      <c r="Q207" s="12" t="s">
        <v>657</v>
      </c>
    </row>
    <row r="208" spans="1:18">
      <c r="A208" s="28" t="s">
        <v>1371</v>
      </c>
      <c r="B208" s="2" t="b">
        <v>1</v>
      </c>
      <c r="C208" s="5" t="s">
        <v>541</v>
      </c>
      <c r="D208" s="2" t="s">
        <v>535</v>
      </c>
      <c r="E208">
        <v>0</v>
      </c>
      <c r="F208" s="2" t="s">
        <v>471</v>
      </c>
      <c r="G208" s="2"/>
      <c r="H208" s="2" t="s">
        <v>509</v>
      </c>
      <c r="I208" s="2" t="s">
        <v>494</v>
      </c>
      <c r="P208" s="2" t="b">
        <v>1</v>
      </c>
      <c r="Q208" s="12" t="s">
        <v>650</v>
      </c>
    </row>
    <row r="209" spans="1:18">
      <c r="A209" s="28" t="s">
        <v>1371</v>
      </c>
      <c r="B209" s="2" t="b">
        <v>1</v>
      </c>
      <c r="C209" s="5" t="s">
        <v>541</v>
      </c>
      <c r="E209">
        <v>1</v>
      </c>
      <c r="F209" s="2" t="s">
        <v>510</v>
      </c>
      <c r="G209" s="2" t="s">
        <v>509</v>
      </c>
      <c r="H209" s="2" t="s">
        <v>509</v>
      </c>
      <c r="I209" s="2" t="s">
        <v>509</v>
      </c>
      <c r="P209" s="2" t="b">
        <v>1</v>
      </c>
      <c r="Q209" s="12" t="s">
        <v>650</v>
      </c>
    </row>
    <row r="210" spans="1:18">
      <c r="A210" s="28" t="s">
        <v>1372</v>
      </c>
      <c r="B210" s="2" t="b">
        <v>1</v>
      </c>
      <c r="C210" s="5" t="s">
        <v>541</v>
      </c>
      <c r="D210" s="2" t="s">
        <v>536</v>
      </c>
      <c r="E210">
        <v>0</v>
      </c>
      <c r="F210" s="2" t="s">
        <v>471</v>
      </c>
      <c r="G210" s="2" t="s">
        <v>473</v>
      </c>
      <c r="H210" s="2" t="s">
        <v>664</v>
      </c>
      <c r="I210" s="2" t="s">
        <v>494</v>
      </c>
      <c r="P210" s="2" t="b">
        <v>1</v>
      </c>
      <c r="Q210" s="12" t="s">
        <v>658</v>
      </c>
    </row>
    <row r="211" spans="1:18">
      <c r="A211" s="28" t="s">
        <v>1373</v>
      </c>
      <c r="B211" s="2" t="b">
        <v>1</v>
      </c>
      <c r="C211" s="5" t="s">
        <v>541</v>
      </c>
      <c r="D211" s="2" t="s">
        <v>540</v>
      </c>
      <c r="E211">
        <v>0</v>
      </c>
      <c r="F211" s="2" t="s">
        <v>471</v>
      </c>
      <c r="G211" s="2"/>
      <c r="H211" s="2"/>
      <c r="I211" s="2" t="s">
        <v>494</v>
      </c>
      <c r="P211" s="2" t="b">
        <v>1</v>
      </c>
    </row>
    <row r="212" spans="1:18">
      <c r="A212" s="28" t="s">
        <v>1373</v>
      </c>
      <c r="B212" s="2" t="b">
        <v>1</v>
      </c>
      <c r="C212" s="5" t="s">
        <v>541</v>
      </c>
      <c r="D212" s="2" t="s">
        <v>526</v>
      </c>
      <c r="E212">
        <v>1</v>
      </c>
      <c r="F212" s="2" t="s">
        <v>471</v>
      </c>
      <c r="G212" s="2" t="s">
        <v>473</v>
      </c>
      <c r="H212" s="2" t="s">
        <v>473</v>
      </c>
      <c r="I212" s="2" t="s">
        <v>494</v>
      </c>
      <c r="P212" s="2" t="b">
        <v>1</v>
      </c>
      <c r="Q212" s="12" t="s">
        <v>659</v>
      </c>
    </row>
    <row r="213" spans="1:18">
      <c r="A213" s="28" t="s">
        <v>1374</v>
      </c>
      <c r="B213" s="2" t="b">
        <v>1</v>
      </c>
      <c r="C213" s="5" t="s">
        <v>541</v>
      </c>
      <c r="D213" s="2" t="s">
        <v>537</v>
      </c>
      <c r="E213">
        <v>0</v>
      </c>
      <c r="F213" s="2" t="s">
        <v>471</v>
      </c>
      <c r="G213" s="2" t="s">
        <v>473</v>
      </c>
      <c r="H213" s="2" t="s">
        <v>664</v>
      </c>
      <c r="I213" s="2" t="s">
        <v>494</v>
      </c>
      <c r="P213" s="2" t="b">
        <v>1</v>
      </c>
      <c r="Q213" s="12" t="s">
        <v>660</v>
      </c>
    </row>
    <row r="214" spans="1:18">
      <c r="A214" s="28" t="s">
        <v>1375</v>
      </c>
      <c r="B214" s="2" t="b">
        <v>1</v>
      </c>
      <c r="C214" s="5" t="s">
        <v>541</v>
      </c>
      <c r="D214" s="2" t="s">
        <v>538</v>
      </c>
      <c r="E214">
        <v>0</v>
      </c>
      <c r="F214" s="2" t="s">
        <v>471</v>
      </c>
      <c r="G214" s="2" t="s">
        <v>473</v>
      </c>
      <c r="H214" s="2" t="s">
        <v>664</v>
      </c>
      <c r="I214" s="2" t="s">
        <v>494</v>
      </c>
      <c r="P214" s="2" t="b">
        <v>1</v>
      </c>
      <c r="Q214" s="12" t="s">
        <v>661</v>
      </c>
    </row>
    <row r="215" spans="1:18">
      <c r="A215" s="28" t="s">
        <v>1376</v>
      </c>
      <c r="B215" s="2" t="b">
        <v>1</v>
      </c>
      <c r="C215" s="5" t="s">
        <v>541</v>
      </c>
      <c r="D215" s="2" t="s">
        <v>539</v>
      </c>
      <c r="E215">
        <v>0</v>
      </c>
      <c r="F215" s="2" t="s">
        <v>471</v>
      </c>
      <c r="G215" s="2" t="s">
        <v>473</v>
      </c>
      <c r="H215" s="2" t="s">
        <v>664</v>
      </c>
      <c r="I215" s="2" t="s">
        <v>494</v>
      </c>
      <c r="P215" s="2" t="b">
        <v>1</v>
      </c>
      <c r="Q215" s="12" t="s">
        <v>618</v>
      </c>
    </row>
    <row r="216" spans="1:18">
      <c r="A216" s="14" t="s">
        <v>688</v>
      </c>
      <c r="B216" s="2" t="b">
        <v>1</v>
      </c>
      <c r="C216" s="5" t="s">
        <v>541</v>
      </c>
      <c r="D216" t="s">
        <v>540</v>
      </c>
      <c r="E216">
        <v>0</v>
      </c>
      <c r="F216" s="2" t="s">
        <v>471</v>
      </c>
      <c r="I216" s="2" t="s">
        <v>494</v>
      </c>
      <c r="P216" s="34" t="b">
        <v>0</v>
      </c>
    </row>
    <row r="217" spans="1:18" ht="16.5" customHeight="1">
      <c r="A217" s="14" t="s">
        <v>688</v>
      </c>
      <c r="B217" s="2" t="b">
        <v>1</v>
      </c>
      <c r="C217" s="5" t="s">
        <v>541</v>
      </c>
      <c r="D217" t="s">
        <v>476</v>
      </c>
      <c r="E217">
        <v>1</v>
      </c>
      <c r="F217" s="2" t="s">
        <v>472</v>
      </c>
      <c r="G217" s="2" t="s">
        <v>499</v>
      </c>
      <c r="H217" t="s">
        <v>476</v>
      </c>
      <c r="I217" s="2" t="s">
        <v>495</v>
      </c>
      <c r="J217">
        <v>3</v>
      </c>
      <c r="L217">
        <v>3</v>
      </c>
      <c r="P217" s="34" t="b">
        <v>0</v>
      </c>
      <c r="R217" t="s">
        <v>669</v>
      </c>
    </row>
    <row r="218" spans="1:18">
      <c r="A218" s="14" t="s">
        <v>695</v>
      </c>
      <c r="B218" s="2" t="b">
        <v>1</v>
      </c>
      <c r="C218" s="5" t="s">
        <v>541</v>
      </c>
      <c r="D218" t="s">
        <v>540</v>
      </c>
      <c r="E218">
        <v>0</v>
      </c>
      <c r="F218" s="2" t="s">
        <v>471</v>
      </c>
      <c r="I218" s="2" t="s">
        <v>494</v>
      </c>
      <c r="P218" s="34" t="b">
        <v>0</v>
      </c>
    </row>
    <row r="219" spans="1:18">
      <c r="A219" s="14" t="s">
        <v>695</v>
      </c>
      <c r="B219" s="2" t="b">
        <v>1</v>
      </c>
      <c r="C219" s="5" t="s">
        <v>541</v>
      </c>
      <c r="D219" t="s">
        <v>476</v>
      </c>
      <c r="E219">
        <v>1</v>
      </c>
      <c r="F219" s="2" t="s">
        <v>472</v>
      </c>
      <c r="G219" s="2" t="s">
        <v>499</v>
      </c>
      <c r="H219" t="s">
        <v>476</v>
      </c>
      <c r="I219" s="2" t="s">
        <v>495</v>
      </c>
      <c r="J219">
        <v>1</v>
      </c>
      <c r="L219">
        <v>3</v>
      </c>
      <c r="P219" s="34" t="b">
        <v>0</v>
      </c>
    </row>
    <row r="220" spans="1:18">
      <c r="A220" s="14" t="s">
        <v>687</v>
      </c>
      <c r="B220" s="2" t="b">
        <v>1</v>
      </c>
      <c r="C220" s="5" t="s">
        <v>541</v>
      </c>
      <c r="D220" s="2" t="s">
        <v>515</v>
      </c>
      <c r="E220">
        <v>0</v>
      </c>
      <c r="F220" s="2" t="s">
        <v>471</v>
      </c>
      <c r="I220" s="2" t="s">
        <v>494</v>
      </c>
      <c r="P220" s="34" t="b">
        <v>0</v>
      </c>
    </row>
    <row r="221" spans="1:18">
      <c r="A221" s="14" t="s">
        <v>687</v>
      </c>
      <c r="B221" s="2" t="b">
        <v>1</v>
      </c>
      <c r="C221" s="5" t="s">
        <v>541</v>
      </c>
      <c r="D221" t="s">
        <v>476</v>
      </c>
      <c r="E221">
        <v>1</v>
      </c>
      <c r="F221" s="2" t="s">
        <v>472</v>
      </c>
      <c r="G221" s="2" t="s">
        <v>499</v>
      </c>
      <c r="H221" t="s">
        <v>476</v>
      </c>
      <c r="I221" s="2" t="s">
        <v>495</v>
      </c>
      <c r="J221">
        <v>6</v>
      </c>
      <c r="P221" s="34" t="b">
        <v>0</v>
      </c>
      <c r="R221" t="s">
        <v>670</v>
      </c>
    </row>
    <row r="222" spans="1:18">
      <c r="A222" s="14" t="s">
        <v>686</v>
      </c>
      <c r="B222" s="2" t="b">
        <v>1</v>
      </c>
      <c r="C222" s="5" t="s">
        <v>541</v>
      </c>
      <c r="D222" s="2" t="s">
        <v>515</v>
      </c>
      <c r="E222">
        <v>0</v>
      </c>
      <c r="F222" s="2" t="s">
        <v>471</v>
      </c>
      <c r="I222" s="2" t="s">
        <v>494</v>
      </c>
      <c r="P222" s="34" t="b">
        <v>0</v>
      </c>
    </row>
    <row r="223" spans="1:18">
      <c r="A223" s="14" t="s">
        <v>686</v>
      </c>
      <c r="B223" s="2" t="b">
        <v>1</v>
      </c>
      <c r="C223" s="5" t="s">
        <v>541</v>
      </c>
      <c r="D223" s="2" t="s">
        <v>697</v>
      </c>
      <c r="E223">
        <v>1</v>
      </c>
      <c r="F223" s="2" t="s">
        <v>696</v>
      </c>
      <c r="I223" s="2" t="s">
        <v>494</v>
      </c>
      <c r="P223" s="34" t="b">
        <v>0</v>
      </c>
    </row>
    <row r="224" spans="1:18">
      <c r="A224" s="14" t="s">
        <v>686</v>
      </c>
      <c r="B224" s="2" t="b">
        <v>1</v>
      </c>
      <c r="C224" s="5" t="s">
        <v>541</v>
      </c>
      <c r="D224" t="s">
        <v>476</v>
      </c>
      <c r="E224">
        <v>2</v>
      </c>
      <c r="F224" s="2" t="s">
        <v>472</v>
      </c>
      <c r="G224" s="2" t="s">
        <v>499</v>
      </c>
      <c r="H224" t="s">
        <v>476</v>
      </c>
      <c r="I224" s="2" t="s">
        <v>495</v>
      </c>
      <c r="J224">
        <v>0</v>
      </c>
      <c r="L224">
        <v>3</v>
      </c>
      <c r="P224" s="34" t="b">
        <v>0</v>
      </c>
    </row>
    <row r="225" ht="36.75" customHeight="1"/>
    <row r="226" ht="18" customHeight="1"/>
  </sheetData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Views>
    <sheetView workbookViewId="0">
      <selection activeCell="A11" sqref="A11"/>
    </sheetView>
  </sheetViews>
  <sheetFormatPr defaultRowHeight="15"/>
  <cols>
    <col min="1" max="1" width="53" customWidth="1"/>
  </cols>
  <sheetData>
    <row r="1" spans="1:2">
      <c r="A1" t="s">
        <v>662</v>
      </c>
      <c r="B1" t="s">
        <v>663</v>
      </c>
    </row>
    <row r="2" spans="1:2">
      <c r="A2" t="s">
        <v>618</v>
      </c>
      <c r="B2">
        <v>1</v>
      </c>
    </row>
    <row r="3" spans="1:2">
      <c r="A3" t="s">
        <v>597</v>
      </c>
      <c r="B3">
        <v>2</v>
      </c>
    </row>
    <row r="4" spans="1:2" ht="16.5">
      <c r="A4" s="18" t="s">
        <v>877</v>
      </c>
      <c r="B4">
        <v>1</v>
      </c>
    </row>
    <row r="5" spans="1:2" ht="16.5">
      <c r="A5" s="18" t="s">
        <v>878</v>
      </c>
      <c r="B5">
        <v>1</v>
      </c>
    </row>
    <row r="6" spans="1:2" ht="16.5">
      <c r="A6" s="18" t="s">
        <v>879</v>
      </c>
      <c r="B6">
        <v>1</v>
      </c>
    </row>
    <row r="7" spans="1:2">
      <c r="A7" t="s">
        <v>888</v>
      </c>
      <c r="B7">
        <v>1</v>
      </c>
    </row>
    <row r="8" spans="1:2">
      <c r="A8" t="s">
        <v>889</v>
      </c>
      <c r="B8">
        <v>1</v>
      </c>
    </row>
    <row r="9" spans="1:2">
      <c r="A9" t="s">
        <v>890</v>
      </c>
      <c r="B9">
        <v>1</v>
      </c>
    </row>
    <row r="10" spans="1:2" ht="16.5">
      <c r="A10" s="18" t="s">
        <v>891</v>
      </c>
      <c r="B10">
        <v>2</v>
      </c>
    </row>
    <row r="11" spans="1:2" ht="16.5">
      <c r="A11" s="18" t="s">
        <v>892</v>
      </c>
      <c r="B11">
        <v>2</v>
      </c>
    </row>
    <row r="12" spans="1:2" ht="16.5">
      <c r="A12" s="18" t="s">
        <v>893</v>
      </c>
      <c r="B12">
        <v>2</v>
      </c>
    </row>
    <row r="13" spans="1:2">
      <c r="A13" t="s">
        <v>902</v>
      </c>
      <c r="B13">
        <v>2</v>
      </c>
    </row>
    <row r="14" spans="1:2">
      <c r="A14" t="s">
        <v>903</v>
      </c>
      <c r="B14">
        <v>2</v>
      </c>
    </row>
    <row r="15" spans="1:2">
      <c r="A15" t="s">
        <v>904</v>
      </c>
      <c r="B15">
        <v>2</v>
      </c>
    </row>
    <row r="16" spans="1:2">
      <c r="A16" t="s">
        <v>1325</v>
      </c>
      <c r="B16">
        <v>1</v>
      </c>
    </row>
    <row r="17" spans="1:2">
      <c r="A17" t="s">
        <v>1326</v>
      </c>
      <c r="B17">
        <v>1</v>
      </c>
    </row>
    <row r="18" spans="1:2" ht="16.5">
      <c r="A18" s="18" t="s">
        <v>925</v>
      </c>
      <c r="B18">
        <v>2</v>
      </c>
    </row>
    <row r="19" spans="1:2" ht="16.5">
      <c r="A19" s="18" t="s">
        <v>926</v>
      </c>
      <c r="B19">
        <v>2</v>
      </c>
    </row>
    <row r="20" spans="1:2">
      <c r="A20" t="s">
        <v>1037</v>
      </c>
      <c r="B20">
        <v>0</v>
      </c>
    </row>
    <row r="21" spans="1:2">
      <c r="A21" t="s">
        <v>1038</v>
      </c>
      <c r="B21">
        <v>0</v>
      </c>
    </row>
    <row r="22" spans="1:2">
      <c r="A22" t="s">
        <v>1288</v>
      </c>
      <c r="B22">
        <v>0</v>
      </c>
    </row>
    <row r="23" spans="1:2">
      <c r="A23" t="s">
        <v>1285</v>
      </c>
      <c r="B23">
        <v>0</v>
      </c>
    </row>
    <row r="24" spans="1:2">
      <c r="A24" t="s">
        <v>1286</v>
      </c>
      <c r="B24">
        <v>0</v>
      </c>
    </row>
    <row r="25" spans="1:2">
      <c r="A25" t="s">
        <v>201</v>
      </c>
      <c r="B25">
        <v>156</v>
      </c>
    </row>
    <row r="26" spans="1:2">
      <c r="A26" t="s">
        <v>650</v>
      </c>
      <c r="B26">
        <v>840</v>
      </c>
    </row>
    <row r="27" spans="1:2">
      <c r="A27" t="s">
        <v>824</v>
      </c>
      <c r="B27" s="2" t="s">
        <v>1377</v>
      </c>
    </row>
    <row r="28" spans="1:2">
      <c r="A28" t="s">
        <v>653</v>
      </c>
      <c r="B28" s="2">
        <v>2017001</v>
      </c>
    </row>
    <row r="29" spans="1:2">
      <c r="A29" t="s">
        <v>968</v>
      </c>
      <c r="B29">
        <v>2</v>
      </c>
    </row>
    <row r="30" spans="1:2">
      <c r="A30" t="s">
        <v>1378</v>
      </c>
      <c r="B30" t="s">
        <v>684</v>
      </c>
    </row>
    <row r="31" spans="1:2">
      <c r="A31" t="s">
        <v>1379</v>
      </c>
      <c r="B31">
        <v>1</v>
      </c>
    </row>
    <row r="32" spans="1:2">
      <c r="A32" t="s">
        <v>1380</v>
      </c>
      <c r="B32">
        <v>2</v>
      </c>
    </row>
    <row r="33" spans="1:2">
      <c r="A33" t="s">
        <v>1381</v>
      </c>
      <c r="B33">
        <v>1</v>
      </c>
    </row>
    <row r="34" spans="1:2">
      <c r="A34" t="s">
        <v>1382</v>
      </c>
      <c r="B34">
        <v>9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73"/>
  <sheetViews>
    <sheetView tabSelected="1" workbookViewId="0">
      <pane ySplit="1" topLeftCell="A2" activePane="bottomLeft" state="frozen"/>
      <selection pane="bottomLeft" activeCell="B7" sqref="B7"/>
    </sheetView>
  </sheetViews>
  <sheetFormatPr defaultRowHeight="15"/>
  <cols>
    <col min="1" max="1" width="50" customWidth="1"/>
    <col min="2" max="2" width="28" customWidth="1"/>
    <col min="3" max="3" width="41.7109375" customWidth="1"/>
    <col min="4" max="4" width="40.42578125" customWidth="1"/>
    <col min="5" max="5" width="8.5703125" customWidth="1"/>
    <col min="6" max="6" width="13" customWidth="1"/>
    <col min="7" max="8" width="9.140625" customWidth="1"/>
    <col min="9" max="9" width="12.42578125" customWidth="1"/>
    <col min="10" max="10" width="8.42578125" customWidth="1"/>
    <col min="11" max="11" width="9" customWidth="1"/>
    <col min="12" max="16" width="9.140625" customWidth="1"/>
    <col min="17" max="17" width="10.7109375" style="1" bestFit="1" customWidth="1"/>
  </cols>
  <sheetData>
    <row r="1" spans="1:19" ht="24" customHeight="1">
      <c r="A1" s="26" t="s">
        <v>491</v>
      </c>
      <c r="B1" s="26" t="s">
        <v>498</v>
      </c>
      <c r="C1" s="26" t="s">
        <v>478</v>
      </c>
      <c r="D1" s="26" t="s">
        <v>477</v>
      </c>
      <c r="E1" s="26" t="s">
        <v>479</v>
      </c>
      <c r="F1" s="26" t="s">
        <v>492</v>
      </c>
      <c r="G1" s="26" t="s">
        <v>496</v>
      </c>
      <c r="H1" s="26" t="s">
        <v>472</v>
      </c>
      <c r="I1" s="26" t="s">
        <v>493</v>
      </c>
      <c r="J1" s="26" t="s">
        <v>487</v>
      </c>
      <c r="K1" s="26" t="s">
        <v>917</v>
      </c>
      <c r="L1" s="26" t="s">
        <v>511</v>
      </c>
      <c r="M1" s="26" t="s">
        <v>870</v>
      </c>
      <c r="N1" s="26" t="s">
        <v>854</v>
      </c>
      <c r="O1" s="26" t="s">
        <v>855</v>
      </c>
      <c r="P1" s="26" t="s">
        <v>1209</v>
      </c>
      <c r="Q1" s="37" t="s">
        <v>542</v>
      </c>
      <c r="R1" t="s">
        <v>357</v>
      </c>
      <c r="S1" t="s">
        <v>500</v>
      </c>
    </row>
    <row r="2" spans="1:19" ht="24" customHeight="1">
      <c r="A2" s="26" t="s">
        <v>802</v>
      </c>
      <c r="B2" s="26" t="b">
        <v>1</v>
      </c>
      <c r="C2" s="26" t="s">
        <v>802</v>
      </c>
      <c r="D2" s="38" t="s">
        <v>1265</v>
      </c>
      <c r="E2" s="26">
        <v>0</v>
      </c>
      <c r="F2" s="26" t="s">
        <v>696</v>
      </c>
      <c r="G2" s="26" t="s">
        <v>499</v>
      </c>
      <c r="H2" s="26" t="s">
        <v>499</v>
      </c>
      <c r="I2" s="38" t="s">
        <v>495</v>
      </c>
      <c r="J2" s="26">
        <v>0</v>
      </c>
      <c r="K2" s="26"/>
      <c r="L2" s="26"/>
      <c r="M2" s="26"/>
      <c r="N2" s="26"/>
      <c r="O2" s="26"/>
      <c r="P2" s="39" t="b">
        <v>0</v>
      </c>
      <c r="Q2" s="37"/>
    </row>
    <row r="3" spans="1:19" ht="24" customHeight="1">
      <c r="A3" s="26" t="s">
        <v>802</v>
      </c>
      <c r="B3" s="26" t="b">
        <v>1</v>
      </c>
      <c r="C3" s="26" t="s">
        <v>802</v>
      </c>
      <c r="D3" s="26" t="s">
        <v>729</v>
      </c>
      <c r="E3" s="26">
        <v>1</v>
      </c>
      <c r="F3" s="26" t="s">
        <v>730</v>
      </c>
      <c r="G3" s="26" t="s">
        <v>499</v>
      </c>
      <c r="H3" s="26" t="s">
        <v>731</v>
      </c>
      <c r="I3" s="26" t="s">
        <v>731</v>
      </c>
      <c r="J3" s="26"/>
      <c r="K3" s="26"/>
      <c r="L3" s="26"/>
      <c r="M3" s="26"/>
      <c r="N3" s="26" t="s">
        <v>510</v>
      </c>
      <c r="O3" s="26" t="b">
        <v>1</v>
      </c>
      <c r="P3" s="39" t="b">
        <v>0</v>
      </c>
      <c r="Q3" s="26" t="s">
        <v>802</v>
      </c>
    </row>
    <row r="4" spans="1:19">
      <c r="A4" s="26" t="s">
        <v>339</v>
      </c>
      <c r="B4" s="26" t="b">
        <v>1</v>
      </c>
      <c r="C4" s="26" t="s">
        <v>802</v>
      </c>
      <c r="D4" s="38" t="s">
        <v>704</v>
      </c>
      <c r="E4" s="26">
        <v>0</v>
      </c>
      <c r="F4" s="26" t="s">
        <v>471</v>
      </c>
      <c r="G4" s="26" t="s">
        <v>473</v>
      </c>
      <c r="H4" s="26" t="s">
        <v>473</v>
      </c>
      <c r="I4" s="38" t="s">
        <v>494</v>
      </c>
      <c r="J4" s="26"/>
      <c r="K4" s="26"/>
      <c r="L4" s="26"/>
      <c r="M4" s="26"/>
      <c r="N4" s="26"/>
      <c r="O4" s="26"/>
      <c r="P4" s="26" t="b">
        <v>1</v>
      </c>
      <c r="Q4" s="37" t="s">
        <v>820</v>
      </c>
    </row>
    <row r="5" spans="1:19" ht="16.5">
      <c r="A5" s="40" t="s">
        <v>342</v>
      </c>
      <c r="B5" s="26" t="b">
        <v>1</v>
      </c>
      <c r="C5" s="26" t="s">
        <v>802</v>
      </c>
      <c r="D5" s="38" t="s">
        <v>705</v>
      </c>
      <c r="E5" s="26">
        <v>0</v>
      </c>
      <c r="F5" s="26" t="s">
        <v>471</v>
      </c>
      <c r="G5" s="26" t="s">
        <v>473</v>
      </c>
      <c r="H5" s="26" t="s">
        <v>473</v>
      </c>
      <c r="I5" s="38" t="s">
        <v>494</v>
      </c>
      <c r="J5" s="26"/>
      <c r="K5" s="26"/>
      <c r="L5" s="26"/>
      <c r="M5" s="26"/>
      <c r="N5" s="26"/>
      <c r="O5" s="26"/>
      <c r="P5" s="26" t="b">
        <v>1</v>
      </c>
      <c r="Q5" s="37" t="s">
        <v>821</v>
      </c>
    </row>
    <row r="6" spans="1:19" ht="16.5">
      <c r="A6" s="40" t="s">
        <v>333</v>
      </c>
      <c r="B6" s="26" t="b">
        <v>1</v>
      </c>
      <c r="C6" s="26" t="s">
        <v>802</v>
      </c>
      <c r="D6" s="38" t="s">
        <v>706</v>
      </c>
      <c r="E6" s="26">
        <v>0</v>
      </c>
      <c r="F6" s="26" t="s">
        <v>471</v>
      </c>
      <c r="G6" s="26" t="s">
        <v>473</v>
      </c>
      <c r="H6" s="26" t="s">
        <v>473</v>
      </c>
      <c r="I6" s="38" t="s">
        <v>494</v>
      </c>
      <c r="J6" s="26"/>
      <c r="K6" s="26"/>
      <c r="L6" s="26"/>
      <c r="M6" s="26"/>
      <c r="N6" s="26"/>
      <c r="O6" s="26"/>
      <c r="P6" s="26" t="b">
        <v>1</v>
      </c>
      <c r="Q6" s="37" t="s">
        <v>817</v>
      </c>
    </row>
    <row r="7" spans="1:19">
      <c r="A7" s="21" t="s">
        <v>1409</v>
      </c>
      <c r="B7" s="26" t="b">
        <v>1</v>
      </c>
      <c r="C7" s="26" t="s">
        <v>802</v>
      </c>
      <c r="D7" s="38" t="s">
        <v>707</v>
      </c>
      <c r="E7" s="26">
        <v>0</v>
      </c>
      <c r="F7" s="26" t="s">
        <v>471</v>
      </c>
      <c r="G7" s="26" t="s">
        <v>473</v>
      </c>
      <c r="H7" s="26" t="s">
        <v>473</v>
      </c>
      <c r="I7" s="38" t="s">
        <v>494</v>
      </c>
      <c r="J7" s="26"/>
      <c r="K7" s="26"/>
      <c r="L7" s="26"/>
      <c r="M7" s="26"/>
      <c r="N7" s="26"/>
      <c r="O7" s="26"/>
      <c r="P7" s="26" t="b">
        <v>1</v>
      </c>
      <c r="Q7" s="37" t="s">
        <v>818</v>
      </c>
    </row>
    <row r="8" spans="1:19" ht="16.5">
      <c r="A8" s="40" t="s">
        <v>337</v>
      </c>
      <c r="B8" s="26" t="b">
        <v>1</v>
      </c>
      <c r="C8" s="26" t="s">
        <v>802</v>
      </c>
      <c r="D8" s="38" t="s">
        <v>708</v>
      </c>
      <c r="E8" s="26">
        <v>0</v>
      </c>
      <c r="F8" s="26" t="s">
        <v>471</v>
      </c>
      <c r="G8" s="26" t="s">
        <v>473</v>
      </c>
      <c r="H8" s="26" t="s">
        <v>473</v>
      </c>
      <c r="I8" s="38" t="s">
        <v>494</v>
      </c>
      <c r="J8" s="26"/>
      <c r="K8" s="26"/>
      <c r="L8" s="26"/>
      <c r="M8" s="26"/>
      <c r="N8" s="26"/>
      <c r="O8" s="26"/>
      <c r="P8" s="26" t="b">
        <v>1</v>
      </c>
      <c r="Q8" s="37" t="s">
        <v>819</v>
      </c>
    </row>
    <row r="9" spans="1:19" ht="16.5">
      <c r="A9" s="40" t="s">
        <v>346</v>
      </c>
      <c r="B9" s="26" t="b">
        <v>1</v>
      </c>
      <c r="C9" s="26" t="s">
        <v>802</v>
      </c>
      <c r="D9" s="38" t="s">
        <v>709</v>
      </c>
      <c r="E9" s="26">
        <v>0</v>
      </c>
      <c r="F9" s="26" t="s">
        <v>471</v>
      </c>
      <c r="G9" s="26" t="s">
        <v>473</v>
      </c>
      <c r="H9" s="26" t="s">
        <v>473</v>
      </c>
      <c r="I9" s="38" t="s">
        <v>494</v>
      </c>
      <c r="J9" s="26"/>
      <c r="K9" s="26"/>
      <c r="L9" s="26"/>
      <c r="M9" s="26"/>
      <c r="N9" s="26"/>
      <c r="O9" s="26"/>
      <c r="P9" s="26" t="b">
        <v>1</v>
      </c>
      <c r="Q9" s="37" t="s">
        <v>598</v>
      </c>
    </row>
    <row r="10" spans="1:19" ht="16.5">
      <c r="A10" s="40" t="s">
        <v>1252</v>
      </c>
      <c r="B10" s="26" t="b">
        <v>1</v>
      </c>
      <c r="C10" s="26" t="s">
        <v>802</v>
      </c>
      <c r="D10" s="38" t="s">
        <v>1253</v>
      </c>
      <c r="E10" s="26">
        <v>0</v>
      </c>
      <c r="F10" s="26" t="s">
        <v>474</v>
      </c>
      <c r="G10" s="26" t="s">
        <v>473</v>
      </c>
      <c r="H10" s="26" t="s">
        <v>473</v>
      </c>
      <c r="I10" s="38" t="s">
        <v>494</v>
      </c>
      <c r="J10" s="26"/>
      <c r="K10" s="26"/>
      <c r="L10" s="26"/>
      <c r="M10" s="26"/>
      <c r="N10" s="26"/>
      <c r="O10" s="26"/>
      <c r="P10" s="26" t="b">
        <v>1</v>
      </c>
      <c r="Q10" s="37" t="s">
        <v>631</v>
      </c>
    </row>
    <row r="11" spans="1:19" ht="16.5">
      <c r="A11" s="40" t="s">
        <v>1254</v>
      </c>
      <c r="B11" s="26" t="b">
        <v>1</v>
      </c>
      <c r="C11" s="26" t="s">
        <v>802</v>
      </c>
      <c r="D11" s="38" t="s">
        <v>1255</v>
      </c>
      <c r="E11" s="26">
        <v>0</v>
      </c>
      <c r="F11" s="26" t="s">
        <v>474</v>
      </c>
      <c r="G11" s="26" t="s">
        <v>473</v>
      </c>
      <c r="H11" s="26" t="s">
        <v>473</v>
      </c>
      <c r="I11" s="38" t="s">
        <v>494</v>
      </c>
      <c r="J11" s="26"/>
      <c r="K11" s="26"/>
      <c r="L11" s="26"/>
      <c r="M11" s="26"/>
      <c r="N11" s="26"/>
      <c r="O11" s="26"/>
      <c r="P11" s="26" t="b">
        <v>1</v>
      </c>
      <c r="Q11" s="37" t="s">
        <v>631</v>
      </c>
    </row>
    <row r="12" spans="1:19" ht="16.5">
      <c r="A12" s="40" t="s">
        <v>351</v>
      </c>
      <c r="B12" s="26" t="b">
        <v>1</v>
      </c>
      <c r="C12" s="26" t="s">
        <v>802</v>
      </c>
      <c r="D12" s="38" t="s">
        <v>711</v>
      </c>
      <c r="E12" s="26">
        <v>0</v>
      </c>
      <c r="F12" s="26" t="s">
        <v>471</v>
      </c>
      <c r="G12" s="26" t="s">
        <v>473</v>
      </c>
      <c r="H12" s="26" t="s">
        <v>473</v>
      </c>
      <c r="I12" s="38" t="s">
        <v>494</v>
      </c>
      <c r="J12" s="26"/>
      <c r="K12" s="26"/>
      <c r="L12" s="26"/>
      <c r="M12" s="26"/>
      <c r="N12" s="26"/>
      <c r="O12" s="26"/>
      <c r="P12" s="26" t="b">
        <v>1</v>
      </c>
      <c r="Q12" s="37">
        <v>0</v>
      </c>
    </row>
    <row r="13" spans="1:19" ht="16.5">
      <c r="A13" s="40" t="s">
        <v>857</v>
      </c>
      <c r="B13" s="26" t="b">
        <v>1</v>
      </c>
      <c r="C13" s="26" t="s">
        <v>802</v>
      </c>
      <c r="D13" s="38" t="s">
        <v>713</v>
      </c>
      <c r="E13" s="26">
        <v>0</v>
      </c>
      <c r="F13" s="26" t="s">
        <v>474</v>
      </c>
      <c r="G13" s="26" t="s">
        <v>364</v>
      </c>
      <c r="H13" s="26" t="s">
        <v>364</v>
      </c>
      <c r="I13" s="26" t="s">
        <v>364</v>
      </c>
      <c r="J13" s="26"/>
      <c r="K13" s="26"/>
      <c r="L13" s="26"/>
      <c r="M13" s="26" t="s">
        <v>905</v>
      </c>
      <c r="N13" s="26"/>
      <c r="O13" s="26"/>
      <c r="P13" s="39" t="b">
        <v>0</v>
      </c>
      <c r="Q13" s="37" t="s">
        <v>871</v>
      </c>
    </row>
    <row r="14" spans="1:19" ht="16.5">
      <c r="A14" s="40" t="s">
        <v>352</v>
      </c>
      <c r="B14" s="26" t="b">
        <v>1</v>
      </c>
      <c r="C14" s="26" t="s">
        <v>802</v>
      </c>
      <c r="D14" s="38" t="s">
        <v>906</v>
      </c>
      <c r="E14" s="26">
        <v>0</v>
      </c>
      <c r="F14" s="26" t="s">
        <v>474</v>
      </c>
      <c r="G14" s="26" t="s">
        <v>473</v>
      </c>
      <c r="H14" s="26" t="s">
        <v>473</v>
      </c>
      <c r="I14" s="38" t="s">
        <v>494</v>
      </c>
      <c r="J14" s="26"/>
      <c r="K14" s="26"/>
      <c r="L14" s="26"/>
      <c r="M14" s="26"/>
      <c r="N14" s="26"/>
      <c r="O14" s="26"/>
      <c r="P14" s="26" t="b">
        <v>1</v>
      </c>
      <c r="Q14" s="37">
        <v>0</v>
      </c>
    </row>
    <row r="15" spans="1:19" ht="16.5">
      <c r="A15" s="40" t="s">
        <v>858</v>
      </c>
      <c r="B15" s="26" t="b">
        <v>1</v>
      </c>
      <c r="C15" s="26" t="s">
        <v>802</v>
      </c>
      <c r="D15" s="38" t="s">
        <v>876</v>
      </c>
      <c r="E15" s="26">
        <v>0</v>
      </c>
      <c r="F15" s="26" t="s">
        <v>474</v>
      </c>
      <c r="G15" s="26" t="s">
        <v>364</v>
      </c>
      <c r="H15" s="26" t="s">
        <v>364</v>
      </c>
      <c r="I15" s="26" t="s">
        <v>364</v>
      </c>
      <c r="J15" s="26"/>
      <c r="K15" s="26"/>
      <c r="L15" s="26"/>
      <c r="M15" s="26" t="s">
        <v>905</v>
      </c>
      <c r="N15" s="26"/>
      <c r="O15" s="26"/>
      <c r="P15" s="39" t="b">
        <v>0</v>
      </c>
      <c r="Q15" s="37" t="s">
        <v>871</v>
      </c>
    </row>
    <row r="16" spans="1:19" ht="16.5">
      <c r="A16" s="40" t="s">
        <v>546</v>
      </c>
      <c r="B16" s="26" t="b">
        <v>1</v>
      </c>
      <c r="C16" s="26" t="s">
        <v>802</v>
      </c>
      <c r="D16" s="38" t="s">
        <v>714</v>
      </c>
      <c r="E16" s="26">
        <v>0</v>
      </c>
      <c r="F16" s="26" t="s">
        <v>474</v>
      </c>
      <c r="G16" s="26" t="s">
        <v>364</v>
      </c>
      <c r="H16" s="26" t="s">
        <v>364</v>
      </c>
      <c r="I16" s="26" t="s">
        <v>364</v>
      </c>
      <c r="J16" s="26"/>
      <c r="K16" s="26"/>
      <c r="L16" s="26"/>
      <c r="M16" s="26" t="s">
        <v>905</v>
      </c>
      <c r="N16" s="26"/>
      <c r="O16" s="26"/>
      <c r="P16" s="26" t="b">
        <v>1</v>
      </c>
      <c r="Q16" s="37" t="s">
        <v>597</v>
      </c>
    </row>
    <row r="17" spans="1:17" ht="16.5">
      <c r="A17" s="40" t="s">
        <v>543</v>
      </c>
      <c r="B17" s="26" t="b">
        <v>1</v>
      </c>
      <c r="C17" s="26" t="s">
        <v>802</v>
      </c>
      <c r="D17" s="38" t="s">
        <v>712</v>
      </c>
      <c r="E17" s="26">
        <v>0</v>
      </c>
      <c r="F17" s="26" t="s">
        <v>474</v>
      </c>
      <c r="G17" s="26" t="s">
        <v>364</v>
      </c>
      <c r="H17" s="26" t="s">
        <v>364</v>
      </c>
      <c r="I17" s="26" t="s">
        <v>364</v>
      </c>
      <c r="J17" s="26"/>
      <c r="K17" s="26"/>
      <c r="L17" s="26"/>
      <c r="M17" s="26" t="s">
        <v>905</v>
      </c>
      <c r="N17" s="26"/>
      <c r="O17" s="26"/>
      <c r="P17" s="26" t="b">
        <v>1</v>
      </c>
      <c r="Q17" s="37" t="s">
        <v>597</v>
      </c>
    </row>
    <row r="18" spans="1:17" ht="16.5">
      <c r="A18" s="40" t="s">
        <v>702</v>
      </c>
      <c r="B18" s="26" t="b">
        <v>1</v>
      </c>
      <c r="C18" s="26" t="s">
        <v>802</v>
      </c>
      <c r="D18" s="38" t="s">
        <v>715</v>
      </c>
      <c r="E18" s="26">
        <v>0</v>
      </c>
      <c r="F18" s="26" t="s">
        <v>474</v>
      </c>
      <c r="G18" s="26" t="s">
        <v>364</v>
      </c>
      <c r="H18" s="26" t="s">
        <v>364</v>
      </c>
      <c r="I18" s="26" t="s">
        <v>364</v>
      </c>
      <c r="J18" s="26"/>
      <c r="K18" s="26"/>
      <c r="L18" s="26"/>
      <c r="M18" s="26" t="s">
        <v>905</v>
      </c>
      <c r="N18" s="26"/>
      <c r="O18" s="26"/>
      <c r="P18" s="39" t="b">
        <v>0</v>
      </c>
      <c r="Q18" s="37" t="s">
        <v>597</v>
      </c>
    </row>
    <row r="19" spans="1:17" ht="16.5">
      <c r="A19" s="40" t="s">
        <v>703</v>
      </c>
      <c r="B19" s="26" t="b">
        <v>1</v>
      </c>
      <c r="C19" s="26" t="s">
        <v>802</v>
      </c>
      <c r="D19" s="38" t="s">
        <v>1218</v>
      </c>
      <c r="E19" s="26">
        <v>0</v>
      </c>
      <c r="F19" s="26" t="s">
        <v>474</v>
      </c>
      <c r="G19" s="26" t="s">
        <v>364</v>
      </c>
      <c r="H19" s="26" t="s">
        <v>364</v>
      </c>
      <c r="I19" s="26" t="s">
        <v>364</v>
      </c>
      <c r="J19" s="26"/>
      <c r="K19" s="26"/>
      <c r="L19" s="26"/>
      <c r="M19" s="26" t="s">
        <v>905</v>
      </c>
      <c r="N19" s="26"/>
      <c r="O19" s="26"/>
      <c r="P19" s="39" t="b">
        <v>0</v>
      </c>
      <c r="Q19" s="37" t="s">
        <v>597</v>
      </c>
    </row>
    <row r="20" spans="1:17" ht="16.5">
      <c r="A20" s="40" t="s">
        <v>356</v>
      </c>
      <c r="B20" s="26" t="b">
        <v>1</v>
      </c>
      <c r="C20" s="26" t="s">
        <v>802</v>
      </c>
      <c r="D20" s="38" t="s">
        <v>915</v>
      </c>
      <c r="E20" s="26">
        <v>0</v>
      </c>
      <c r="F20" s="26" t="s">
        <v>696</v>
      </c>
      <c r="G20" s="26" t="s">
        <v>499</v>
      </c>
      <c r="H20" s="26" t="s">
        <v>499</v>
      </c>
      <c r="I20" s="38" t="s">
        <v>495</v>
      </c>
      <c r="J20" s="26">
        <v>0</v>
      </c>
      <c r="K20" s="26"/>
      <c r="L20" s="26">
        <v>5</v>
      </c>
      <c r="M20" s="26"/>
      <c r="N20" s="26"/>
      <c r="O20" s="26"/>
      <c r="P20" s="39" t="b">
        <v>0</v>
      </c>
      <c r="Q20" s="37"/>
    </row>
    <row r="21" spans="1:17" ht="16.5">
      <c r="A21" s="40" t="s">
        <v>356</v>
      </c>
      <c r="B21" s="26" t="b">
        <v>1</v>
      </c>
      <c r="C21" s="26" t="s">
        <v>802</v>
      </c>
      <c r="D21" s="38" t="s">
        <v>716</v>
      </c>
      <c r="E21" s="26">
        <v>1</v>
      </c>
      <c r="F21" s="26" t="s">
        <v>696</v>
      </c>
      <c r="G21" s="26" t="s">
        <v>499</v>
      </c>
      <c r="H21" s="26" t="s">
        <v>499</v>
      </c>
      <c r="I21" s="38" t="s">
        <v>495</v>
      </c>
      <c r="J21" s="26">
        <v>0</v>
      </c>
      <c r="K21" s="26"/>
      <c r="L21" s="26">
        <v>5</v>
      </c>
      <c r="M21" s="26"/>
      <c r="N21" s="26"/>
      <c r="O21" s="26"/>
      <c r="P21" s="39" t="b">
        <v>0</v>
      </c>
      <c r="Q21" s="37"/>
    </row>
    <row r="22" spans="1:17">
      <c r="A22" s="26" t="s">
        <v>908</v>
      </c>
      <c r="B22" s="26" t="b">
        <v>1</v>
      </c>
      <c r="C22" s="26" t="s">
        <v>802</v>
      </c>
      <c r="D22" s="26" t="s">
        <v>804</v>
      </c>
      <c r="E22" s="26">
        <v>0</v>
      </c>
      <c r="F22" s="26" t="s">
        <v>804</v>
      </c>
      <c r="G22" s="26" t="s">
        <v>804</v>
      </c>
      <c r="H22" s="26" t="s">
        <v>804</v>
      </c>
      <c r="I22" s="26" t="s">
        <v>804</v>
      </c>
      <c r="J22" s="26"/>
      <c r="K22" s="26"/>
      <c r="L22" s="26">
        <v>2</v>
      </c>
      <c r="M22" s="37"/>
      <c r="N22" s="26"/>
      <c r="O22" s="26"/>
      <c r="P22" s="39" t="b">
        <v>0</v>
      </c>
      <c r="Q22" s="26"/>
    </row>
    <row r="23" spans="1:17" ht="24" customHeight="1">
      <c r="A23" s="26" t="s">
        <v>1256</v>
      </c>
      <c r="B23" s="26" t="b">
        <v>1</v>
      </c>
      <c r="C23" s="26" t="s">
        <v>359</v>
      </c>
      <c r="D23" s="38" t="s">
        <v>1265</v>
      </c>
      <c r="E23" s="26">
        <v>0</v>
      </c>
      <c r="F23" s="26" t="s">
        <v>696</v>
      </c>
      <c r="G23" s="26" t="s">
        <v>499</v>
      </c>
      <c r="H23" s="26" t="s">
        <v>499</v>
      </c>
      <c r="I23" s="38" t="s">
        <v>495</v>
      </c>
      <c r="J23" s="26">
        <v>0</v>
      </c>
      <c r="K23" s="26"/>
      <c r="L23" s="26">
        <v>5</v>
      </c>
      <c r="M23" s="26"/>
      <c r="N23" s="26"/>
      <c r="O23" s="26"/>
      <c r="P23" s="39" t="b">
        <v>0</v>
      </c>
      <c r="Q23" s="37"/>
    </row>
    <row r="24" spans="1:17" ht="24" customHeight="1">
      <c r="A24" s="26" t="s">
        <v>1256</v>
      </c>
      <c r="B24" s="26" t="b">
        <v>1</v>
      </c>
      <c r="C24" s="26" t="s">
        <v>359</v>
      </c>
      <c r="D24" s="26" t="s">
        <v>729</v>
      </c>
      <c r="E24" s="26">
        <v>1</v>
      </c>
      <c r="F24" s="26" t="s">
        <v>730</v>
      </c>
      <c r="G24" s="26" t="s">
        <v>499</v>
      </c>
      <c r="H24" s="26" t="s">
        <v>731</v>
      </c>
      <c r="I24" s="26" t="s">
        <v>731</v>
      </c>
      <c r="J24" s="26"/>
      <c r="K24" s="26"/>
      <c r="L24" s="26">
        <v>5</v>
      </c>
      <c r="M24" s="26"/>
      <c r="N24" s="26" t="s">
        <v>510</v>
      </c>
      <c r="O24" s="26" t="b">
        <v>1</v>
      </c>
      <c r="P24" s="39" t="b">
        <v>0</v>
      </c>
      <c r="Q24" s="26" t="s">
        <v>1256</v>
      </c>
    </row>
    <row r="25" spans="1:17">
      <c r="A25" s="21" t="s">
        <v>1410</v>
      </c>
      <c r="B25" s="26" t="b">
        <v>1</v>
      </c>
      <c r="C25" s="26" t="s">
        <v>359</v>
      </c>
      <c r="D25" s="38" t="s">
        <v>742</v>
      </c>
      <c r="E25" s="26">
        <v>0</v>
      </c>
      <c r="F25" s="26" t="s">
        <v>474</v>
      </c>
      <c r="G25" s="26" t="s">
        <v>473</v>
      </c>
      <c r="H25" s="26" t="s">
        <v>473</v>
      </c>
      <c r="I25" s="38" t="s">
        <v>494</v>
      </c>
      <c r="J25" s="26"/>
      <c r="K25" s="26"/>
      <c r="L25" s="26"/>
      <c r="M25" s="26"/>
      <c r="N25" s="26"/>
      <c r="O25" s="26"/>
      <c r="P25" s="26" t="b">
        <v>1</v>
      </c>
      <c r="Q25" s="37" t="s">
        <v>631</v>
      </c>
    </row>
    <row r="26" spans="1:17">
      <c r="A26" s="21" t="s">
        <v>1412</v>
      </c>
      <c r="B26" s="26" t="b">
        <v>1</v>
      </c>
      <c r="C26" s="26" t="s">
        <v>359</v>
      </c>
      <c r="D26" s="38" t="s">
        <v>746</v>
      </c>
      <c r="E26" s="26">
        <v>0</v>
      </c>
      <c r="F26" s="26" t="s">
        <v>474</v>
      </c>
      <c r="G26" s="26" t="s">
        <v>473</v>
      </c>
      <c r="H26" s="26" t="s">
        <v>473</v>
      </c>
      <c r="I26" s="38" t="s">
        <v>494</v>
      </c>
      <c r="J26" s="26"/>
      <c r="K26" s="26"/>
      <c r="L26" s="26"/>
      <c r="M26" s="26"/>
      <c r="N26" s="26"/>
      <c r="O26" s="26"/>
      <c r="P26" s="26" t="b">
        <v>1</v>
      </c>
      <c r="Q26" s="37" t="s">
        <v>631</v>
      </c>
    </row>
    <row r="27" spans="1:17">
      <c r="A27" s="21" t="s">
        <v>1411</v>
      </c>
      <c r="B27" s="26" t="b">
        <v>1</v>
      </c>
      <c r="C27" s="26" t="s">
        <v>359</v>
      </c>
      <c r="D27" s="38" t="s">
        <v>745</v>
      </c>
      <c r="E27" s="26">
        <v>0</v>
      </c>
      <c r="F27" s="26" t="s">
        <v>474</v>
      </c>
      <c r="G27" s="26" t="s">
        <v>473</v>
      </c>
      <c r="H27" s="26" t="s">
        <v>473</v>
      </c>
      <c r="I27" s="38" t="s">
        <v>494</v>
      </c>
      <c r="J27" s="26"/>
      <c r="K27" s="26"/>
      <c r="L27" s="26"/>
      <c r="M27" s="26"/>
      <c r="N27" s="26"/>
      <c r="O27" s="26"/>
      <c r="P27" s="26" t="b">
        <v>1</v>
      </c>
      <c r="Q27" s="21" t="s">
        <v>631</v>
      </c>
    </row>
    <row r="28" spans="1:17">
      <c r="A28" s="26" t="s">
        <v>1257</v>
      </c>
      <c r="B28" s="26" t="b">
        <v>1</v>
      </c>
      <c r="C28" s="26" t="s">
        <v>359</v>
      </c>
      <c r="D28" s="38" t="s">
        <v>750</v>
      </c>
      <c r="E28" s="26">
        <v>0</v>
      </c>
      <c r="F28" s="26" t="s">
        <v>474</v>
      </c>
      <c r="G28" s="26" t="s">
        <v>364</v>
      </c>
      <c r="H28" s="26" t="s">
        <v>364</v>
      </c>
      <c r="I28" s="26" t="s">
        <v>364</v>
      </c>
      <c r="J28" s="26"/>
      <c r="K28" s="26"/>
      <c r="L28" s="26"/>
      <c r="M28" s="26" t="s">
        <v>905</v>
      </c>
      <c r="N28" s="26"/>
      <c r="O28" s="26"/>
      <c r="P28" s="39" t="b">
        <v>0</v>
      </c>
      <c r="Q28" s="37" t="s">
        <v>871</v>
      </c>
    </row>
    <row r="29" spans="1:17">
      <c r="A29" s="26" t="s">
        <v>1258</v>
      </c>
      <c r="B29" s="26" t="b">
        <v>1</v>
      </c>
      <c r="C29" s="26" t="s">
        <v>359</v>
      </c>
      <c r="D29" s="38" t="s">
        <v>754</v>
      </c>
      <c r="E29" s="26">
        <v>0</v>
      </c>
      <c r="F29" s="26" t="s">
        <v>474</v>
      </c>
      <c r="G29" s="26" t="s">
        <v>364</v>
      </c>
      <c r="H29" s="26" t="s">
        <v>364</v>
      </c>
      <c r="I29" s="26" t="s">
        <v>364</v>
      </c>
      <c r="J29" s="26"/>
      <c r="K29" s="26"/>
      <c r="L29" s="26"/>
      <c r="M29" s="26" t="s">
        <v>905</v>
      </c>
      <c r="N29" s="26"/>
      <c r="O29" s="26"/>
      <c r="P29" s="39" t="b">
        <v>0</v>
      </c>
      <c r="Q29" s="37" t="s">
        <v>871</v>
      </c>
    </row>
    <row r="30" spans="1:17">
      <c r="A30" s="26" t="s">
        <v>1259</v>
      </c>
      <c r="B30" s="26" t="b">
        <v>1</v>
      </c>
      <c r="C30" s="26" t="s">
        <v>359</v>
      </c>
      <c r="D30" s="38" t="s">
        <v>753</v>
      </c>
      <c r="E30" s="26">
        <v>0</v>
      </c>
      <c r="F30" s="26" t="s">
        <v>474</v>
      </c>
      <c r="G30" s="26" t="s">
        <v>364</v>
      </c>
      <c r="H30" s="26" t="s">
        <v>364</v>
      </c>
      <c r="I30" s="26" t="s">
        <v>364</v>
      </c>
      <c r="J30" s="26"/>
      <c r="K30" s="26"/>
      <c r="L30" s="26"/>
      <c r="M30" s="26" t="s">
        <v>905</v>
      </c>
      <c r="N30" s="26"/>
      <c r="O30" s="26"/>
      <c r="P30" s="39" t="b">
        <v>0</v>
      </c>
      <c r="Q30" s="37" t="s">
        <v>871</v>
      </c>
    </row>
    <row r="31" spans="1:17">
      <c r="A31" s="26" t="s">
        <v>1260</v>
      </c>
      <c r="B31" s="26" t="b">
        <v>1</v>
      </c>
      <c r="C31" s="26" t="s">
        <v>359</v>
      </c>
      <c r="D31" s="38" t="s">
        <v>915</v>
      </c>
      <c r="E31" s="26">
        <v>0</v>
      </c>
      <c r="F31" s="26" t="s">
        <v>696</v>
      </c>
      <c r="G31" s="26" t="s">
        <v>499</v>
      </c>
      <c r="H31" s="26" t="s">
        <v>499</v>
      </c>
      <c r="I31" s="38" t="s">
        <v>495</v>
      </c>
      <c r="J31" s="26">
        <v>2</v>
      </c>
      <c r="K31" s="26"/>
      <c r="L31" s="26">
        <v>5</v>
      </c>
      <c r="M31" s="26"/>
      <c r="N31" s="26"/>
      <c r="O31" s="26"/>
      <c r="P31" s="39" t="b">
        <v>0</v>
      </c>
      <c r="Q31" s="37"/>
    </row>
    <row r="32" spans="1:17">
      <c r="A32" s="26" t="s">
        <v>1260</v>
      </c>
      <c r="B32" s="26" t="b">
        <v>1</v>
      </c>
      <c r="C32" s="26" t="s">
        <v>359</v>
      </c>
      <c r="D32" s="38" t="s">
        <v>716</v>
      </c>
      <c r="E32" s="26">
        <v>1</v>
      </c>
      <c r="F32" s="26" t="s">
        <v>696</v>
      </c>
      <c r="G32" s="26" t="s">
        <v>499</v>
      </c>
      <c r="H32" s="26" t="s">
        <v>499</v>
      </c>
      <c r="I32" s="38" t="s">
        <v>495</v>
      </c>
      <c r="J32" s="26">
        <v>0</v>
      </c>
      <c r="K32" s="26"/>
      <c r="L32" s="26">
        <v>5</v>
      </c>
      <c r="M32" s="26"/>
      <c r="N32" s="26"/>
      <c r="O32" s="26"/>
      <c r="P32" s="39" t="b">
        <v>0</v>
      </c>
      <c r="Q32" s="37"/>
    </row>
    <row r="33" spans="1:17">
      <c r="A33" s="26" t="s">
        <v>1261</v>
      </c>
      <c r="B33" s="26" t="b">
        <v>1</v>
      </c>
      <c r="C33" s="26" t="s">
        <v>359</v>
      </c>
      <c r="D33" s="26" t="s">
        <v>804</v>
      </c>
      <c r="E33" s="26">
        <v>0</v>
      </c>
      <c r="F33" s="26" t="s">
        <v>804</v>
      </c>
      <c r="G33" s="26" t="s">
        <v>804</v>
      </c>
      <c r="H33" s="26" t="s">
        <v>804</v>
      </c>
      <c r="I33" s="26" t="s">
        <v>804</v>
      </c>
      <c r="J33" s="26"/>
      <c r="K33" s="26"/>
      <c r="L33" s="26">
        <v>2</v>
      </c>
      <c r="M33" s="37"/>
      <c r="N33" s="26"/>
      <c r="O33" s="26"/>
      <c r="P33" s="39" t="b">
        <v>0</v>
      </c>
      <c r="Q33" s="26"/>
    </row>
    <row r="34" spans="1:17" ht="24" customHeight="1">
      <c r="A34" s="26" t="s">
        <v>755</v>
      </c>
      <c r="B34" s="26" t="b">
        <v>1</v>
      </c>
      <c r="C34" s="26" t="s">
        <v>755</v>
      </c>
      <c r="D34" s="38" t="s">
        <v>1265</v>
      </c>
      <c r="E34" s="26">
        <v>0</v>
      </c>
      <c r="F34" s="26" t="s">
        <v>696</v>
      </c>
      <c r="G34" s="26" t="s">
        <v>499</v>
      </c>
      <c r="H34" s="26" t="s">
        <v>499</v>
      </c>
      <c r="I34" s="38" t="s">
        <v>495</v>
      </c>
      <c r="J34" s="26">
        <v>0</v>
      </c>
      <c r="K34" s="26"/>
      <c r="L34" s="26">
        <v>5</v>
      </c>
      <c r="M34" s="26"/>
      <c r="N34" s="26"/>
      <c r="O34" s="26"/>
      <c r="P34" s="39" t="b">
        <v>0</v>
      </c>
      <c r="Q34" s="37"/>
    </row>
    <row r="35" spans="1:17" ht="24" customHeight="1">
      <c r="A35" s="26" t="s">
        <v>755</v>
      </c>
      <c r="B35" s="26" t="b">
        <v>1</v>
      </c>
      <c r="C35" s="26" t="s">
        <v>755</v>
      </c>
      <c r="D35" s="26" t="s">
        <v>729</v>
      </c>
      <c r="E35" s="26">
        <v>1</v>
      </c>
      <c r="F35" s="26" t="s">
        <v>730</v>
      </c>
      <c r="G35" s="26" t="s">
        <v>499</v>
      </c>
      <c r="H35" s="26" t="s">
        <v>731</v>
      </c>
      <c r="I35" s="26" t="s">
        <v>731</v>
      </c>
      <c r="J35" s="26"/>
      <c r="K35" s="26"/>
      <c r="L35" s="26">
        <v>5</v>
      </c>
      <c r="M35" s="26"/>
      <c r="N35" s="26" t="s">
        <v>510</v>
      </c>
      <c r="O35" s="26" t="b">
        <v>1</v>
      </c>
      <c r="P35" s="39" t="b">
        <v>0</v>
      </c>
      <c r="Q35" s="26" t="s">
        <v>755</v>
      </c>
    </row>
    <row r="36" spans="1:17">
      <c r="A36" s="21" t="s">
        <v>575</v>
      </c>
      <c r="B36" s="26" t="b">
        <v>1</v>
      </c>
      <c r="C36" s="26" t="s">
        <v>755</v>
      </c>
      <c r="D36" s="38" t="s">
        <v>756</v>
      </c>
      <c r="E36" s="26">
        <v>0</v>
      </c>
      <c r="F36" s="26" t="s">
        <v>474</v>
      </c>
      <c r="G36" s="26" t="s">
        <v>473</v>
      </c>
      <c r="H36" s="26" t="s">
        <v>473</v>
      </c>
      <c r="I36" s="38" t="s">
        <v>494</v>
      </c>
      <c r="J36" s="26"/>
      <c r="K36" s="26"/>
      <c r="L36" s="26"/>
      <c r="M36" s="26"/>
      <c r="N36" s="26"/>
      <c r="O36" s="26"/>
      <c r="P36" s="26" t="b">
        <v>1</v>
      </c>
      <c r="Q36" s="37" t="s">
        <v>631</v>
      </c>
    </row>
    <row r="37" spans="1:17">
      <c r="A37" s="21" t="s">
        <v>576</v>
      </c>
      <c r="B37" s="26" t="b">
        <v>1</v>
      </c>
      <c r="C37" s="26" t="s">
        <v>755</v>
      </c>
      <c r="D37" s="38" t="s">
        <v>757</v>
      </c>
      <c r="E37" s="26">
        <v>0</v>
      </c>
      <c r="F37" s="26" t="s">
        <v>474</v>
      </c>
      <c r="G37" s="26" t="s">
        <v>473</v>
      </c>
      <c r="H37" s="26" t="s">
        <v>473</v>
      </c>
      <c r="I37" s="38" t="s">
        <v>494</v>
      </c>
      <c r="J37" s="26"/>
      <c r="K37" s="26"/>
      <c r="L37" s="26"/>
      <c r="M37" s="26"/>
      <c r="N37" s="26"/>
      <c r="O37" s="26"/>
      <c r="P37" s="26" t="b">
        <v>1</v>
      </c>
      <c r="Q37" s="37" t="s">
        <v>631</v>
      </c>
    </row>
    <row r="38" spans="1:17">
      <c r="A38" s="21" t="s">
        <v>577</v>
      </c>
      <c r="B38" s="26" t="b">
        <v>1</v>
      </c>
      <c r="C38" s="26" t="s">
        <v>755</v>
      </c>
      <c r="D38" s="38" t="s">
        <v>758</v>
      </c>
      <c r="E38" s="26">
        <v>0</v>
      </c>
      <c r="F38" s="26" t="s">
        <v>474</v>
      </c>
      <c r="G38" s="26" t="s">
        <v>473</v>
      </c>
      <c r="H38" s="26" t="s">
        <v>473</v>
      </c>
      <c r="I38" s="38" t="s">
        <v>494</v>
      </c>
      <c r="J38" s="26"/>
      <c r="K38" s="26"/>
      <c r="L38" s="26"/>
      <c r="M38" s="26"/>
      <c r="N38" s="26"/>
      <c r="O38" s="26"/>
      <c r="P38" s="26" t="b">
        <v>1</v>
      </c>
      <c r="Q38" s="37" t="s">
        <v>631</v>
      </c>
    </row>
    <row r="39" spans="1:17">
      <c r="A39" s="21" t="s">
        <v>578</v>
      </c>
      <c r="B39" s="26" t="b">
        <v>1</v>
      </c>
      <c r="C39" s="26" t="s">
        <v>755</v>
      </c>
      <c r="D39" s="38" t="s">
        <v>759</v>
      </c>
      <c r="E39" s="26">
        <v>0</v>
      </c>
      <c r="F39" s="26" t="s">
        <v>474</v>
      </c>
      <c r="G39" s="26" t="s">
        <v>473</v>
      </c>
      <c r="H39" s="26" t="s">
        <v>473</v>
      </c>
      <c r="I39" s="38" t="s">
        <v>494</v>
      </c>
      <c r="J39" s="26"/>
      <c r="K39" s="26"/>
      <c r="L39" s="26"/>
      <c r="M39" s="26"/>
      <c r="N39" s="26"/>
      <c r="O39" s="26"/>
      <c r="P39" s="26" t="b">
        <v>1</v>
      </c>
      <c r="Q39" s="37" t="s">
        <v>631</v>
      </c>
    </row>
    <row r="40" spans="1:17">
      <c r="A40" s="21" t="s">
        <v>579</v>
      </c>
      <c r="B40" s="26" t="b">
        <v>1</v>
      </c>
      <c r="C40" s="26" t="s">
        <v>755</v>
      </c>
      <c r="D40" s="38" t="s">
        <v>760</v>
      </c>
      <c r="E40" s="26">
        <v>0</v>
      </c>
      <c r="F40" s="26" t="s">
        <v>474</v>
      </c>
      <c r="G40" s="26" t="s">
        <v>473</v>
      </c>
      <c r="H40" s="26" t="s">
        <v>473</v>
      </c>
      <c r="I40" s="38" t="s">
        <v>494</v>
      </c>
      <c r="J40" s="26"/>
      <c r="K40" s="26"/>
      <c r="L40" s="26"/>
      <c r="M40" s="26"/>
      <c r="N40" s="26"/>
      <c r="O40" s="26"/>
      <c r="P40" s="26" t="b">
        <v>1</v>
      </c>
      <c r="Q40" s="37" t="s">
        <v>631</v>
      </c>
    </row>
    <row r="41" spans="1:17">
      <c r="A41" s="26" t="s">
        <v>580</v>
      </c>
      <c r="B41" s="26" t="b">
        <v>1</v>
      </c>
      <c r="C41" s="26" t="s">
        <v>755</v>
      </c>
      <c r="D41" s="38" t="s">
        <v>761</v>
      </c>
      <c r="E41" s="26">
        <v>0</v>
      </c>
      <c r="F41" s="26" t="s">
        <v>474</v>
      </c>
      <c r="G41" s="26" t="s">
        <v>473</v>
      </c>
      <c r="H41" s="26" t="s">
        <v>473</v>
      </c>
      <c r="I41" s="38" t="s">
        <v>494</v>
      </c>
      <c r="J41" s="26"/>
      <c r="K41" s="26"/>
      <c r="L41" s="26"/>
      <c r="M41" s="26"/>
      <c r="N41" s="26"/>
      <c r="O41" s="26"/>
      <c r="P41" s="26" t="b">
        <v>1</v>
      </c>
      <c r="Q41" s="37" t="s">
        <v>631</v>
      </c>
    </row>
    <row r="42" spans="1:17">
      <c r="A42" s="26" t="s">
        <v>581</v>
      </c>
      <c r="B42" s="26" t="b">
        <v>1</v>
      </c>
      <c r="C42" s="26" t="s">
        <v>755</v>
      </c>
      <c r="D42" s="38" t="s">
        <v>762</v>
      </c>
      <c r="E42" s="26">
        <v>0</v>
      </c>
      <c r="F42" s="26" t="s">
        <v>474</v>
      </c>
      <c r="G42" s="26" t="s">
        <v>473</v>
      </c>
      <c r="H42" s="26" t="s">
        <v>473</v>
      </c>
      <c r="I42" s="38" t="s">
        <v>494</v>
      </c>
      <c r="J42" s="26"/>
      <c r="K42" s="26"/>
      <c r="L42" s="26"/>
      <c r="M42" s="26"/>
      <c r="N42" s="26"/>
      <c r="O42" s="26"/>
      <c r="P42" s="26" t="b">
        <v>1</v>
      </c>
      <c r="Q42" s="37" t="s">
        <v>631</v>
      </c>
    </row>
    <row r="43" spans="1:17">
      <c r="A43" s="26" t="s">
        <v>582</v>
      </c>
      <c r="B43" s="26" t="b">
        <v>1</v>
      </c>
      <c r="C43" s="26" t="s">
        <v>755</v>
      </c>
      <c r="D43" s="38" t="s">
        <v>763</v>
      </c>
      <c r="E43" s="26">
        <v>0</v>
      </c>
      <c r="F43" s="26" t="s">
        <v>474</v>
      </c>
      <c r="G43" s="26" t="s">
        <v>473</v>
      </c>
      <c r="H43" s="26" t="s">
        <v>473</v>
      </c>
      <c r="I43" s="38" t="s">
        <v>494</v>
      </c>
      <c r="J43" s="26"/>
      <c r="K43" s="26"/>
      <c r="L43" s="26"/>
      <c r="M43" s="26"/>
      <c r="N43" s="26"/>
      <c r="O43" s="26"/>
      <c r="P43" s="26" t="b">
        <v>1</v>
      </c>
      <c r="Q43" s="37" t="s">
        <v>631</v>
      </c>
    </row>
    <row r="44" spans="1:17">
      <c r="A44" s="26" t="s">
        <v>1212</v>
      </c>
      <c r="B44" s="26" t="b">
        <v>1</v>
      </c>
      <c r="C44" s="26" t="s">
        <v>755</v>
      </c>
      <c r="D44" s="38" t="s">
        <v>764</v>
      </c>
      <c r="E44" s="26">
        <v>0</v>
      </c>
      <c r="F44" s="26" t="s">
        <v>474</v>
      </c>
      <c r="G44" s="26" t="s">
        <v>473</v>
      </c>
      <c r="H44" s="26" t="s">
        <v>473</v>
      </c>
      <c r="I44" s="38" t="s">
        <v>494</v>
      </c>
      <c r="J44" s="26"/>
      <c r="K44" s="26"/>
      <c r="L44" s="26"/>
      <c r="M44" s="26"/>
      <c r="N44" s="26"/>
      <c r="O44" s="26"/>
      <c r="P44" s="26" t="b">
        <v>1</v>
      </c>
      <c r="Q44" s="37" t="s">
        <v>631</v>
      </c>
    </row>
    <row r="45" spans="1:17">
      <c r="A45" s="26" t="s">
        <v>583</v>
      </c>
      <c r="B45" s="26" t="b">
        <v>1</v>
      </c>
      <c r="C45" s="26" t="s">
        <v>755</v>
      </c>
      <c r="D45" s="38" t="s">
        <v>765</v>
      </c>
      <c r="E45" s="26">
        <v>0</v>
      </c>
      <c r="F45" s="26" t="s">
        <v>474</v>
      </c>
      <c r="G45" s="26" t="s">
        <v>473</v>
      </c>
      <c r="H45" s="26" t="s">
        <v>473</v>
      </c>
      <c r="I45" s="38" t="s">
        <v>494</v>
      </c>
      <c r="J45" s="26"/>
      <c r="K45" s="26"/>
      <c r="L45" s="26"/>
      <c r="M45" s="26"/>
      <c r="N45" s="26"/>
      <c r="O45" s="26"/>
      <c r="P45" s="26" t="b">
        <v>1</v>
      </c>
      <c r="Q45" s="37" t="s">
        <v>631</v>
      </c>
    </row>
    <row r="46" spans="1:17">
      <c r="A46" s="26" t="s">
        <v>584</v>
      </c>
      <c r="B46" s="26" t="b">
        <v>1</v>
      </c>
      <c r="C46" s="26" t="s">
        <v>755</v>
      </c>
      <c r="D46" s="38" t="s">
        <v>766</v>
      </c>
      <c r="E46" s="26">
        <v>0</v>
      </c>
      <c r="F46" s="26" t="s">
        <v>474</v>
      </c>
      <c r="G46" s="26" t="s">
        <v>473</v>
      </c>
      <c r="H46" s="26" t="s">
        <v>473</v>
      </c>
      <c r="I46" s="38" t="s">
        <v>494</v>
      </c>
      <c r="J46" s="26"/>
      <c r="K46" s="26"/>
      <c r="L46" s="26"/>
      <c r="M46" s="26"/>
      <c r="N46" s="26"/>
      <c r="O46" s="26"/>
      <c r="P46" s="26" t="b">
        <v>1</v>
      </c>
      <c r="Q46" s="37" t="s">
        <v>631</v>
      </c>
    </row>
    <row r="47" spans="1:17">
      <c r="A47" s="26" t="s">
        <v>1213</v>
      </c>
      <c r="B47" s="26" t="b">
        <v>1</v>
      </c>
      <c r="C47" s="26" t="s">
        <v>755</v>
      </c>
      <c r="D47" s="38" t="s">
        <v>767</v>
      </c>
      <c r="E47" s="26">
        <v>0</v>
      </c>
      <c r="F47" s="26" t="s">
        <v>474</v>
      </c>
      <c r="G47" s="26" t="s">
        <v>473</v>
      </c>
      <c r="H47" s="26" t="s">
        <v>473</v>
      </c>
      <c r="I47" s="38" t="s">
        <v>494</v>
      </c>
      <c r="J47" s="26"/>
      <c r="K47" s="26"/>
      <c r="L47" s="26"/>
      <c r="M47" s="26"/>
      <c r="N47" s="26"/>
      <c r="O47" s="26"/>
      <c r="P47" s="26" t="b">
        <v>1</v>
      </c>
      <c r="Q47" s="37" t="s">
        <v>631</v>
      </c>
    </row>
    <row r="48" spans="1:17">
      <c r="A48" s="26" t="s">
        <v>585</v>
      </c>
      <c r="B48" s="26" t="b">
        <v>1</v>
      </c>
      <c r="C48" s="26" t="s">
        <v>755</v>
      </c>
      <c r="D48" s="38" t="s">
        <v>768</v>
      </c>
      <c r="E48" s="26">
        <v>0</v>
      </c>
      <c r="F48" s="26" t="s">
        <v>474</v>
      </c>
      <c r="G48" s="26" t="s">
        <v>473</v>
      </c>
      <c r="H48" s="26" t="s">
        <v>473</v>
      </c>
      <c r="I48" s="38" t="s">
        <v>494</v>
      </c>
      <c r="J48" s="26"/>
      <c r="K48" s="26"/>
      <c r="L48" s="26"/>
      <c r="M48" s="26"/>
      <c r="N48" s="26"/>
      <c r="O48" s="26"/>
      <c r="P48" s="26" t="b">
        <v>1</v>
      </c>
      <c r="Q48" s="37" t="s">
        <v>631</v>
      </c>
    </row>
    <row r="49" spans="1:17">
      <c r="A49" s="26" t="s">
        <v>586</v>
      </c>
      <c r="B49" s="26" t="b">
        <v>1</v>
      </c>
      <c r="C49" s="26" t="s">
        <v>755</v>
      </c>
      <c r="D49" s="38" t="s">
        <v>769</v>
      </c>
      <c r="E49" s="26">
        <v>0</v>
      </c>
      <c r="F49" s="26" t="s">
        <v>474</v>
      </c>
      <c r="G49" s="26" t="s">
        <v>473</v>
      </c>
      <c r="H49" s="26" t="s">
        <v>473</v>
      </c>
      <c r="I49" s="38" t="s">
        <v>494</v>
      </c>
      <c r="J49" s="26"/>
      <c r="K49" s="26"/>
      <c r="L49" s="26"/>
      <c r="M49" s="26"/>
      <c r="N49" s="26"/>
      <c r="O49" s="26"/>
      <c r="P49" s="26" t="b">
        <v>1</v>
      </c>
      <c r="Q49" s="37" t="s">
        <v>631</v>
      </c>
    </row>
    <row r="50" spans="1:17">
      <c r="A50" s="26" t="s">
        <v>587</v>
      </c>
      <c r="B50" s="26" t="b">
        <v>1</v>
      </c>
      <c r="C50" s="26" t="s">
        <v>755</v>
      </c>
      <c r="D50" s="38" t="s">
        <v>770</v>
      </c>
      <c r="E50" s="26">
        <v>0</v>
      </c>
      <c r="F50" s="26" t="s">
        <v>474</v>
      </c>
      <c r="G50" s="26" t="s">
        <v>473</v>
      </c>
      <c r="H50" s="26" t="s">
        <v>473</v>
      </c>
      <c r="I50" s="38" t="s">
        <v>494</v>
      </c>
      <c r="J50" s="26"/>
      <c r="K50" s="26"/>
      <c r="L50" s="26"/>
      <c r="M50" s="26"/>
      <c r="N50" s="26"/>
      <c r="O50" s="26"/>
      <c r="P50" s="26" t="b">
        <v>1</v>
      </c>
      <c r="Q50" s="37" t="s">
        <v>631</v>
      </c>
    </row>
    <row r="51" spans="1:17">
      <c r="A51" s="26" t="s">
        <v>588</v>
      </c>
      <c r="B51" s="26" t="b">
        <v>1</v>
      </c>
      <c r="C51" s="26" t="s">
        <v>755</v>
      </c>
      <c r="D51" s="38" t="s">
        <v>771</v>
      </c>
      <c r="E51" s="26">
        <v>0</v>
      </c>
      <c r="F51" s="26" t="s">
        <v>474</v>
      </c>
      <c r="G51" s="26" t="s">
        <v>473</v>
      </c>
      <c r="H51" s="26" t="s">
        <v>473</v>
      </c>
      <c r="I51" s="38" t="s">
        <v>494</v>
      </c>
      <c r="J51" s="26"/>
      <c r="K51" s="26"/>
      <c r="L51" s="26"/>
      <c r="M51" s="26"/>
      <c r="N51" s="26"/>
      <c r="O51" s="26"/>
      <c r="P51" s="26" t="b">
        <v>1</v>
      </c>
      <c r="Q51" s="37" t="s">
        <v>631</v>
      </c>
    </row>
    <row r="52" spans="1:17">
      <c r="A52" s="26" t="s">
        <v>589</v>
      </c>
      <c r="B52" s="26" t="b">
        <v>1</v>
      </c>
      <c r="C52" s="26" t="s">
        <v>755</v>
      </c>
      <c r="D52" s="38" t="s">
        <v>772</v>
      </c>
      <c r="E52" s="26">
        <v>0</v>
      </c>
      <c r="F52" s="26" t="s">
        <v>474</v>
      </c>
      <c r="G52" s="26" t="s">
        <v>473</v>
      </c>
      <c r="H52" s="26" t="s">
        <v>473</v>
      </c>
      <c r="I52" s="38" t="s">
        <v>494</v>
      </c>
      <c r="J52" s="26"/>
      <c r="K52" s="26"/>
      <c r="L52" s="26"/>
      <c r="M52" s="26"/>
      <c r="N52" s="26"/>
      <c r="O52" s="26"/>
      <c r="P52" s="26" t="b">
        <v>1</v>
      </c>
      <c r="Q52" s="37" t="s">
        <v>631</v>
      </c>
    </row>
    <row r="53" spans="1:17">
      <c r="A53" s="26" t="s">
        <v>1214</v>
      </c>
      <c r="B53" s="26" t="b">
        <v>1</v>
      </c>
      <c r="C53" s="26" t="s">
        <v>755</v>
      </c>
      <c r="D53" s="38" t="s">
        <v>773</v>
      </c>
      <c r="E53" s="26">
        <v>0</v>
      </c>
      <c r="F53" s="26" t="s">
        <v>474</v>
      </c>
      <c r="G53" s="26" t="s">
        <v>473</v>
      </c>
      <c r="H53" s="26" t="s">
        <v>473</v>
      </c>
      <c r="I53" s="38" t="s">
        <v>494</v>
      </c>
      <c r="J53" s="26"/>
      <c r="K53" s="26"/>
      <c r="L53" s="26"/>
      <c r="M53" s="26"/>
      <c r="N53" s="26"/>
      <c r="O53" s="26"/>
      <c r="P53" s="26" t="b">
        <v>1</v>
      </c>
      <c r="Q53" s="37" t="s">
        <v>631</v>
      </c>
    </row>
    <row r="54" spans="1:17">
      <c r="A54" s="26" t="s">
        <v>590</v>
      </c>
      <c r="B54" s="26" t="b">
        <v>1</v>
      </c>
      <c r="C54" s="26" t="s">
        <v>755</v>
      </c>
      <c r="D54" s="38" t="s">
        <v>774</v>
      </c>
      <c r="E54" s="26">
        <v>0</v>
      </c>
      <c r="F54" s="26" t="s">
        <v>474</v>
      </c>
      <c r="G54" s="26" t="s">
        <v>473</v>
      </c>
      <c r="H54" s="26" t="s">
        <v>473</v>
      </c>
      <c r="I54" s="38" t="s">
        <v>494</v>
      </c>
      <c r="J54" s="26"/>
      <c r="K54" s="26"/>
      <c r="L54" s="26"/>
      <c r="M54" s="26"/>
      <c r="N54" s="26"/>
      <c r="O54" s="26"/>
      <c r="P54" s="26" t="b">
        <v>1</v>
      </c>
      <c r="Q54" s="37" t="s">
        <v>631</v>
      </c>
    </row>
    <row r="55" spans="1:17">
      <c r="A55" s="26" t="s">
        <v>867</v>
      </c>
      <c r="B55" s="26" t="b">
        <v>1</v>
      </c>
      <c r="C55" s="26" t="s">
        <v>727</v>
      </c>
      <c r="D55" s="38" t="s">
        <v>775</v>
      </c>
      <c r="E55" s="26">
        <v>0</v>
      </c>
      <c r="F55" s="26" t="s">
        <v>474</v>
      </c>
      <c r="G55" s="26" t="s">
        <v>364</v>
      </c>
      <c r="H55" s="26" t="s">
        <v>364</v>
      </c>
      <c r="I55" s="26" t="s">
        <v>364</v>
      </c>
      <c r="J55" s="26"/>
      <c r="K55" s="26"/>
      <c r="L55" s="26"/>
      <c r="M55" s="26" t="s">
        <v>905</v>
      </c>
      <c r="N55" s="26"/>
      <c r="O55" s="26"/>
      <c r="P55" s="39" t="b">
        <v>0</v>
      </c>
      <c r="Q55" s="37" t="s">
        <v>871</v>
      </c>
    </row>
    <row r="56" spans="1:17">
      <c r="A56" s="26" t="s">
        <v>868</v>
      </c>
      <c r="B56" s="26" t="b">
        <v>1</v>
      </c>
      <c r="C56" s="26" t="s">
        <v>727</v>
      </c>
      <c r="D56" s="38" t="s">
        <v>776</v>
      </c>
      <c r="E56" s="26">
        <v>0</v>
      </c>
      <c r="F56" s="26" t="s">
        <v>474</v>
      </c>
      <c r="G56" s="26" t="s">
        <v>364</v>
      </c>
      <c r="H56" s="26" t="s">
        <v>364</v>
      </c>
      <c r="I56" s="26" t="s">
        <v>364</v>
      </c>
      <c r="J56" s="26"/>
      <c r="K56" s="26"/>
      <c r="L56" s="26"/>
      <c r="M56" s="26" t="s">
        <v>905</v>
      </c>
      <c r="N56" s="26"/>
      <c r="O56" s="26"/>
      <c r="P56" s="39" t="b">
        <v>0</v>
      </c>
      <c r="Q56" s="37" t="s">
        <v>871</v>
      </c>
    </row>
    <row r="57" spans="1:17">
      <c r="A57" s="26" t="s">
        <v>869</v>
      </c>
      <c r="B57" s="26" t="b">
        <v>1</v>
      </c>
      <c r="C57" s="26" t="s">
        <v>727</v>
      </c>
      <c r="D57" s="38" t="s">
        <v>777</v>
      </c>
      <c r="E57" s="26">
        <v>0</v>
      </c>
      <c r="F57" s="26" t="s">
        <v>474</v>
      </c>
      <c r="G57" s="26" t="s">
        <v>364</v>
      </c>
      <c r="H57" s="26" t="s">
        <v>364</v>
      </c>
      <c r="I57" s="26" t="s">
        <v>364</v>
      </c>
      <c r="J57" s="26"/>
      <c r="K57" s="26"/>
      <c r="L57" s="26"/>
      <c r="M57" s="26" t="s">
        <v>905</v>
      </c>
      <c r="N57" s="26"/>
      <c r="O57" s="26"/>
      <c r="P57" s="39" t="b">
        <v>0</v>
      </c>
      <c r="Q57" s="37" t="s">
        <v>871</v>
      </c>
    </row>
    <row r="58" spans="1:17">
      <c r="A58" s="26" t="s">
        <v>916</v>
      </c>
      <c r="B58" s="26" t="b">
        <v>1</v>
      </c>
      <c r="C58" s="26" t="s">
        <v>755</v>
      </c>
      <c r="D58" s="38" t="s">
        <v>915</v>
      </c>
      <c r="E58" s="26">
        <v>0</v>
      </c>
      <c r="F58" s="26" t="s">
        <v>696</v>
      </c>
      <c r="G58" s="26" t="s">
        <v>499</v>
      </c>
      <c r="H58" s="26" t="s">
        <v>499</v>
      </c>
      <c r="I58" s="38" t="s">
        <v>495</v>
      </c>
      <c r="J58" s="26">
        <v>4</v>
      </c>
      <c r="K58" s="26"/>
      <c r="L58" s="26"/>
      <c r="M58" s="26"/>
      <c r="N58" s="26"/>
      <c r="O58" s="26"/>
      <c r="P58" s="39" t="b">
        <v>0</v>
      </c>
      <c r="Q58" s="37"/>
    </row>
    <row r="59" spans="1:17">
      <c r="A59" s="26" t="s">
        <v>916</v>
      </c>
      <c r="B59" s="26" t="b">
        <v>1</v>
      </c>
      <c r="C59" s="26" t="s">
        <v>755</v>
      </c>
      <c r="D59" s="38" t="s">
        <v>716</v>
      </c>
      <c r="E59" s="26">
        <v>1</v>
      </c>
      <c r="F59" s="26" t="s">
        <v>696</v>
      </c>
      <c r="G59" s="26" t="s">
        <v>499</v>
      </c>
      <c r="H59" s="26" t="s">
        <v>499</v>
      </c>
      <c r="I59" s="38" t="s">
        <v>495</v>
      </c>
      <c r="J59" s="26">
        <v>0</v>
      </c>
      <c r="K59" s="26"/>
      <c r="L59" s="26"/>
      <c r="M59" s="26"/>
      <c r="N59" s="26"/>
      <c r="O59" s="26"/>
      <c r="P59" s="39" t="b">
        <v>0</v>
      </c>
      <c r="Q59" s="37"/>
    </row>
    <row r="60" spans="1:17">
      <c r="A60" s="26" t="s">
        <v>923</v>
      </c>
      <c r="B60" s="26" t="b">
        <v>1</v>
      </c>
      <c r="C60" s="26" t="s">
        <v>755</v>
      </c>
      <c r="D60" s="26" t="s">
        <v>804</v>
      </c>
      <c r="E60" s="26">
        <v>0</v>
      </c>
      <c r="F60" s="26" t="s">
        <v>804</v>
      </c>
      <c r="G60" s="26" t="s">
        <v>804</v>
      </c>
      <c r="H60" s="26" t="s">
        <v>804</v>
      </c>
      <c r="I60" s="26" t="s">
        <v>804</v>
      </c>
      <c r="J60" s="26"/>
      <c r="K60" s="26"/>
      <c r="L60" s="26">
        <v>2</v>
      </c>
      <c r="M60" s="37"/>
      <c r="N60" s="26"/>
      <c r="O60" s="26"/>
      <c r="P60" s="39" t="b">
        <v>0</v>
      </c>
      <c r="Q60" s="26"/>
    </row>
    <row r="61" spans="1:17">
      <c r="A61" s="26" t="s">
        <v>778</v>
      </c>
      <c r="B61" s="26" t="b">
        <v>1</v>
      </c>
      <c r="C61" s="26" t="s">
        <v>778</v>
      </c>
      <c r="D61" s="38" t="s">
        <v>1265</v>
      </c>
      <c r="E61" s="26">
        <v>0</v>
      </c>
      <c r="F61" s="26" t="s">
        <v>696</v>
      </c>
      <c r="G61" s="26" t="s">
        <v>499</v>
      </c>
      <c r="H61" s="26" t="s">
        <v>499</v>
      </c>
      <c r="I61" s="38" t="s">
        <v>495</v>
      </c>
      <c r="J61" s="26">
        <v>0</v>
      </c>
      <c r="K61" s="26"/>
      <c r="L61" s="26">
        <v>5</v>
      </c>
      <c r="M61" s="26"/>
      <c r="N61" s="26"/>
      <c r="O61" s="26"/>
      <c r="P61" s="39" t="b">
        <v>0</v>
      </c>
      <c r="Q61" s="37"/>
    </row>
    <row r="62" spans="1:17">
      <c r="A62" s="26" t="s">
        <v>778</v>
      </c>
      <c r="B62" s="26" t="b">
        <v>1</v>
      </c>
      <c r="C62" s="26" t="s">
        <v>778</v>
      </c>
      <c r="D62" s="26" t="s">
        <v>729</v>
      </c>
      <c r="E62" s="26">
        <v>1</v>
      </c>
      <c r="F62" s="26" t="s">
        <v>730</v>
      </c>
      <c r="G62" s="26" t="s">
        <v>499</v>
      </c>
      <c r="H62" s="26" t="s">
        <v>731</v>
      </c>
      <c r="I62" s="26" t="s">
        <v>731</v>
      </c>
      <c r="J62" s="26"/>
      <c r="K62" s="26"/>
      <c r="L62" s="26">
        <v>5</v>
      </c>
      <c r="M62" s="26"/>
      <c r="N62" s="26" t="s">
        <v>510</v>
      </c>
      <c r="O62" s="26" t="b">
        <v>1</v>
      </c>
      <c r="P62" s="39" t="b">
        <v>0</v>
      </c>
      <c r="Q62" s="26" t="s">
        <v>778</v>
      </c>
    </row>
    <row r="63" spans="1:17">
      <c r="A63" s="21" t="s">
        <v>1413</v>
      </c>
      <c r="B63" s="26" t="b">
        <v>1</v>
      </c>
      <c r="C63" s="26" t="s">
        <v>778</v>
      </c>
      <c r="D63" s="38" t="s">
        <v>780</v>
      </c>
      <c r="E63" s="26">
        <v>0</v>
      </c>
      <c r="F63" s="26" t="s">
        <v>474</v>
      </c>
      <c r="G63" s="26" t="s">
        <v>473</v>
      </c>
      <c r="H63" s="26" t="s">
        <v>473</v>
      </c>
      <c r="I63" s="38" t="s">
        <v>494</v>
      </c>
      <c r="J63" s="26"/>
      <c r="K63" s="26"/>
      <c r="L63" s="26"/>
      <c r="M63" s="26"/>
      <c r="N63" s="26"/>
      <c r="O63" s="26"/>
      <c r="P63" s="26" t="b">
        <v>1</v>
      </c>
      <c r="Q63" s="37" t="s">
        <v>631</v>
      </c>
    </row>
    <row r="64" spans="1:17">
      <c r="A64" s="21" t="s">
        <v>1414</v>
      </c>
      <c r="B64" s="26" t="b">
        <v>1</v>
      </c>
      <c r="C64" s="26" t="s">
        <v>778</v>
      </c>
      <c r="D64" s="38" t="s">
        <v>779</v>
      </c>
      <c r="E64" s="26">
        <v>0</v>
      </c>
      <c r="F64" s="26" t="s">
        <v>474</v>
      </c>
      <c r="G64" s="26" t="s">
        <v>473</v>
      </c>
      <c r="H64" s="26" t="s">
        <v>473</v>
      </c>
      <c r="I64" s="38" t="s">
        <v>494</v>
      </c>
      <c r="J64" s="26"/>
      <c r="K64" s="26"/>
      <c r="L64" s="26"/>
      <c r="M64" s="26"/>
      <c r="N64" s="26"/>
      <c r="O64" s="26"/>
      <c r="P64" s="26" t="b">
        <v>1</v>
      </c>
      <c r="Q64" s="37" t="s">
        <v>631</v>
      </c>
    </row>
    <row r="65" spans="1:17">
      <c r="A65" s="26" t="s">
        <v>781</v>
      </c>
      <c r="B65" s="26" t="b">
        <v>1</v>
      </c>
      <c r="C65" s="26" t="s">
        <v>778</v>
      </c>
      <c r="D65" s="38" t="s">
        <v>915</v>
      </c>
      <c r="E65" s="26">
        <v>0</v>
      </c>
      <c r="F65" s="26" t="s">
        <v>696</v>
      </c>
      <c r="G65" s="26" t="s">
        <v>499</v>
      </c>
      <c r="H65" s="26" t="s">
        <v>499</v>
      </c>
      <c r="I65" s="38" t="s">
        <v>495</v>
      </c>
      <c r="J65" s="26">
        <v>5</v>
      </c>
      <c r="K65" s="26"/>
      <c r="L65" s="26"/>
      <c r="M65" s="26"/>
      <c r="N65" s="26"/>
      <c r="O65" s="26"/>
      <c r="P65" s="39" t="b">
        <v>0</v>
      </c>
      <c r="Q65" s="37"/>
    </row>
    <row r="66" spans="1:17">
      <c r="A66" s="26" t="s">
        <v>781</v>
      </c>
      <c r="B66" s="26" t="b">
        <v>1</v>
      </c>
      <c r="C66" s="26" t="s">
        <v>778</v>
      </c>
      <c r="D66" s="38" t="s">
        <v>716</v>
      </c>
      <c r="E66" s="26">
        <v>1</v>
      </c>
      <c r="F66" s="26" t="s">
        <v>696</v>
      </c>
      <c r="G66" s="26" t="s">
        <v>499</v>
      </c>
      <c r="H66" s="26" t="s">
        <v>499</v>
      </c>
      <c r="I66" s="38" t="s">
        <v>495</v>
      </c>
      <c r="J66" s="26">
        <v>0</v>
      </c>
      <c r="K66" s="26"/>
      <c r="L66" s="26"/>
      <c r="M66" s="26"/>
      <c r="N66" s="26"/>
      <c r="O66" s="26"/>
      <c r="P66" s="39" t="b">
        <v>0</v>
      </c>
      <c r="Q66" s="37"/>
    </row>
    <row r="67" spans="1:17">
      <c r="A67" s="26" t="s">
        <v>924</v>
      </c>
      <c r="B67" s="26" t="b">
        <v>1</v>
      </c>
      <c r="C67" s="26" t="s">
        <v>778</v>
      </c>
      <c r="D67" s="26" t="s">
        <v>804</v>
      </c>
      <c r="E67" s="26">
        <v>0</v>
      </c>
      <c r="F67" s="26" t="s">
        <v>804</v>
      </c>
      <c r="G67" s="26" t="s">
        <v>804</v>
      </c>
      <c r="H67" s="26" t="s">
        <v>804</v>
      </c>
      <c r="I67" s="26" t="s">
        <v>804</v>
      </c>
      <c r="J67" s="26"/>
      <c r="K67" s="26"/>
      <c r="L67" s="26">
        <v>2</v>
      </c>
      <c r="M67" s="37"/>
      <c r="N67" s="26"/>
      <c r="O67" s="26"/>
      <c r="P67" s="39" t="b">
        <v>0</v>
      </c>
      <c r="Q67" s="26"/>
    </row>
    <row r="68" spans="1:17">
      <c r="A68" s="26" t="s">
        <v>1034</v>
      </c>
      <c r="B68" s="26" t="b">
        <v>1</v>
      </c>
      <c r="C68" s="26" t="s">
        <v>1034</v>
      </c>
      <c r="D68" s="38" t="s">
        <v>1265</v>
      </c>
      <c r="E68" s="26">
        <v>0</v>
      </c>
      <c r="F68" s="26" t="s">
        <v>696</v>
      </c>
      <c r="G68" s="26" t="s">
        <v>499</v>
      </c>
      <c r="H68" s="26" t="s">
        <v>499</v>
      </c>
      <c r="I68" s="38" t="s">
        <v>495</v>
      </c>
      <c r="J68" s="26">
        <v>0</v>
      </c>
      <c r="K68" s="26"/>
      <c r="L68" s="26">
        <v>5</v>
      </c>
      <c r="M68" s="26"/>
      <c r="N68" s="26"/>
      <c r="O68" s="26"/>
      <c r="P68" s="39" t="b">
        <v>0</v>
      </c>
      <c r="Q68" s="41"/>
    </row>
    <row r="69" spans="1:17">
      <c r="A69" s="26" t="s">
        <v>1034</v>
      </c>
      <c r="B69" s="26" t="b">
        <v>1</v>
      </c>
      <c r="C69" s="26" t="s">
        <v>1034</v>
      </c>
      <c r="D69" s="26" t="s">
        <v>729</v>
      </c>
      <c r="E69" s="26">
        <v>1</v>
      </c>
      <c r="F69" s="26" t="s">
        <v>730</v>
      </c>
      <c r="G69" s="26" t="s">
        <v>499</v>
      </c>
      <c r="H69" s="26" t="s">
        <v>731</v>
      </c>
      <c r="I69" s="26" t="s">
        <v>731</v>
      </c>
      <c r="J69" s="26"/>
      <c r="K69" s="26"/>
      <c r="L69" s="26"/>
      <c r="M69" s="26"/>
      <c r="N69" s="26" t="s">
        <v>510</v>
      </c>
      <c r="O69" s="26" t="b">
        <v>1</v>
      </c>
      <c r="P69" s="39" t="b">
        <v>0</v>
      </c>
      <c r="Q69" s="26" t="s">
        <v>1034</v>
      </c>
    </row>
    <row r="70" spans="1:17">
      <c r="A70" s="26" t="s">
        <v>1035</v>
      </c>
      <c r="B70" s="26" t="b">
        <v>1</v>
      </c>
      <c r="C70" s="26" t="s">
        <v>1034</v>
      </c>
      <c r="D70" s="38" t="s">
        <v>1036</v>
      </c>
      <c r="E70" s="26">
        <v>0</v>
      </c>
      <c r="F70" s="26" t="s">
        <v>474</v>
      </c>
      <c r="G70" s="26" t="s">
        <v>364</v>
      </c>
      <c r="H70" s="26" t="s">
        <v>364</v>
      </c>
      <c r="I70" s="26" t="s">
        <v>364</v>
      </c>
      <c r="J70" s="26"/>
      <c r="K70" s="26"/>
      <c r="L70" s="26"/>
      <c r="M70" s="26"/>
      <c r="N70" s="26" t="s">
        <v>905</v>
      </c>
      <c r="O70" s="26" t="b">
        <v>0</v>
      </c>
      <c r="P70" s="39" t="b">
        <v>0</v>
      </c>
      <c r="Q70" s="41" t="s">
        <v>597</v>
      </c>
    </row>
    <row r="71" spans="1:17">
      <c r="A71" s="26" t="s">
        <v>1058</v>
      </c>
      <c r="B71" s="26" t="b">
        <v>1</v>
      </c>
      <c r="C71" s="26" t="s">
        <v>1034</v>
      </c>
      <c r="D71" s="38" t="s">
        <v>915</v>
      </c>
      <c r="E71" s="26">
        <v>0</v>
      </c>
      <c r="F71" s="26" t="s">
        <v>696</v>
      </c>
      <c r="G71" s="26" t="s">
        <v>499</v>
      </c>
      <c r="H71" s="26" t="s">
        <v>499</v>
      </c>
      <c r="I71" s="38" t="s">
        <v>495</v>
      </c>
      <c r="J71" s="26">
        <v>6</v>
      </c>
      <c r="K71" s="26"/>
      <c r="L71" s="26"/>
      <c r="M71" s="26"/>
      <c r="N71" s="26"/>
      <c r="O71" s="26"/>
      <c r="P71" s="39" t="b">
        <v>0</v>
      </c>
      <c r="Q71" s="41"/>
    </row>
    <row r="72" spans="1:17">
      <c r="A72" s="26" t="s">
        <v>1058</v>
      </c>
      <c r="B72" s="26" t="b">
        <v>1</v>
      </c>
      <c r="C72" s="26" t="s">
        <v>1034</v>
      </c>
      <c r="D72" s="38" t="s">
        <v>716</v>
      </c>
      <c r="E72" s="26">
        <v>1</v>
      </c>
      <c r="F72" s="26" t="s">
        <v>696</v>
      </c>
      <c r="G72" s="26" t="s">
        <v>499</v>
      </c>
      <c r="H72" s="26" t="s">
        <v>499</v>
      </c>
      <c r="I72" s="38" t="s">
        <v>495</v>
      </c>
      <c r="J72" s="26">
        <v>0</v>
      </c>
      <c r="K72" s="26"/>
      <c r="L72" s="26"/>
      <c r="M72" s="26"/>
      <c r="N72" s="26"/>
      <c r="O72" s="26"/>
      <c r="P72" s="39" t="b">
        <v>0</v>
      </c>
      <c r="Q72" s="41"/>
    </row>
    <row r="73" spans="1:17">
      <c r="A73" s="26" t="s">
        <v>1059</v>
      </c>
      <c r="B73" s="26" t="b">
        <v>1</v>
      </c>
      <c r="C73" s="26" t="s">
        <v>1034</v>
      </c>
      <c r="D73" s="26" t="s">
        <v>804</v>
      </c>
      <c r="E73" s="26">
        <v>0</v>
      </c>
      <c r="F73" s="26" t="s">
        <v>804</v>
      </c>
      <c r="G73" s="26" t="s">
        <v>804</v>
      </c>
      <c r="H73" s="26" t="s">
        <v>804</v>
      </c>
      <c r="I73" s="26" t="s">
        <v>804</v>
      </c>
      <c r="J73" s="26"/>
      <c r="K73" s="26"/>
      <c r="L73" s="26">
        <v>5</v>
      </c>
      <c r="M73" s="26"/>
      <c r="N73" s="26"/>
      <c r="O73" s="26"/>
      <c r="P73" s="39" t="b">
        <v>0</v>
      </c>
      <c r="Q73" s="41"/>
    </row>
  </sheetData>
  <autoFilter ref="A1:S73"/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>
      <selection activeCell="A21" sqref="A21"/>
    </sheetView>
  </sheetViews>
  <sheetFormatPr defaultRowHeight="15"/>
  <cols>
    <col min="1" max="1" width="110.140625" customWidth="1"/>
  </cols>
  <sheetData>
    <row r="1" spans="1:2">
      <c r="A1" t="s">
        <v>662</v>
      </c>
      <c r="B1" t="s">
        <v>663</v>
      </c>
    </row>
    <row r="2" spans="1:2" ht="16.5">
      <c r="A2" s="18" t="s">
        <v>878</v>
      </c>
      <c r="B2">
        <v>1</v>
      </c>
    </row>
    <row r="3" spans="1:2" ht="16.5">
      <c r="A3" s="18" t="s">
        <v>879</v>
      </c>
      <c r="B3">
        <v>1</v>
      </c>
    </row>
    <row r="4" spans="1:2">
      <c r="A4" t="s">
        <v>1262</v>
      </c>
      <c r="B4">
        <v>0</v>
      </c>
    </row>
    <row r="5" spans="1:2">
      <c r="A5" t="s">
        <v>1263</v>
      </c>
      <c r="B5">
        <v>0</v>
      </c>
    </row>
    <row r="6" spans="1:2">
      <c r="A6" t="s">
        <v>1264</v>
      </c>
      <c r="B6">
        <v>0</v>
      </c>
    </row>
    <row r="7" spans="1:2">
      <c r="A7" t="s">
        <v>888</v>
      </c>
      <c r="B7">
        <v>1</v>
      </c>
    </row>
    <row r="8" spans="1:2">
      <c r="A8" t="s">
        <v>889</v>
      </c>
      <c r="B8">
        <v>1</v>
      </c>
    </row>
    <row r="9" spans="1:2">
      <c r="A9" t="s">
        <v>890</v>
      </c>
      <c r="B9">
        <v>1</v>
      </c>
    </row>
    <row r="10" spans="1:2" ht="16.5">
      <c r="A10" s="18" t="s">
        <v>892</v>
      </c>
      <c r="B10">
        <v>0</v>
      </c>
    </row>
    <row r="11" spans="1:2" ht="16.5">
      <c r="A11" s="18" t="s">
        <v>893</v>
      </c>
      <c r="B11">
        <v>0</v>
      </c>
    </row>
    <row r="12" spans="1:2">
      <c r="A12" t="s">
        <v>902</v>
      </c>
      <c r="B12">
        <v>0</v>
      </c>
    </row>
    <row r="13" spans="1:2">
      <c r="A13" t="s">
        <v>903</v>
      </c>
      <c r="B13">
        <v>0</v>
      </c>
    </row>
    <row r="14" spans="1:2">
      <c r="A14" t="s">
        <v>904</v>
      </c>
      <c r="B14">
        <v>0</v>
      </c>
    </row>
    <row r="15" spans="1:2" ht="16.5">
      <c r="A15" s="18" t="s">
        <v>925</v>
      </c>
      <c r="B15">
        <v>0</v>
      </c>
    </row>
    <row r="16" spans="1:2" ht="16.5">
      <c r="A16" s="18" t="s">
        <v>926</v>
      </c>
      <c r="B16">
        <v>0</v>
      </c>
    </row>
    <row r="17" spans="1:2" ht="16.5">
      <c r="A17" s="18" t="s">
        <v>927</v>
      </c>
      <c r="B17">
        <v>0</v>
      </c>
    </row>
    <row r="18" spans="1:2" ht="16.5">
      <c r="A18" s="18" t="s">
        <v>928</v>
      </c>
      <c r="B18">
        <v>0</v>
      </c>
    </row>
    <row r="19" spans="1:2">
      <c r="A19" t="s">
        <v>1038</v>
      </c>
      <c r="B1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66"/>
  <sheetViews>
    <sheetView workbookViewId="0">
      <selection activeCell="E16" sqref="E16"/>
    </sheetView>
  </sheetViews>
  <sheetFormatPr defaultRowHeight="15"/>
  <cols>
    <col min="1" max="1" width="68.5703125" customWidth="1"/>
    <col min="2" max="2" width="9.140625" customWidth="1"/>
    <col min="3" max="3" width="30.28515625" customWidth="1"/>
    <col min="4" max="4" width="26.42578125" customWidth="1"/>
    <col min="5" max="5" width="9.5703125" customWidth="1"/>
    <col min="6" max="6" width="13" customWidth="1"/>
    <col min="7" max="8" width="9.140625" customWidth="1"/>
    <col min="9" max="9" width="16" customWidth="1"/>
    <col min="10" max="10" width="5" customWidth="1"/>
    <col min="11" max="11" width="5.140625" customWidth="1"/>
    <col min="12" max="14" width="9.140625" customWidth="1"/>
    <col min="15" max="15" width="10.140625" customWidth="1"/>
    <col min="16" max="16" width="20.85546875" customWidth="1"/>
  </cols>
  <sheetData>
    <row r="1" spans="1:19">
      <c r="A1" s="26" t="s">
        <v>491</v>
      </c>
      <c r="B1" s="26" t="s">
        <v>498</v>
      </c>
      <c r="C1" s="26" t="s">
        <v>478</v>
      </c>
      <c r="D1" s="26" t="s">
        <v>477</v>
      </c>
      <c r="E1" s="26" t="s">
        <v>479</v>
      </c>
      <c r="F1" s="26" t="s">
        <v>492</v>
      </c>
      <c r="G1" s="26" t="s">
        <v>496</v>
      </c>
      <c r="H1" s="26" t="s">
        <v>472</v>
      </c>
      <c r="I1" s="26" t="s">
        <v>493</v>
      </c>
      <c r="J1" s="26" t="s">
        <v>487</v>
      </c>
      <c r="K1" s="26" t="s">
        <v>917</v>
      </c>
      <c r="L1" s="26" t="s">
        <v>511</v>
      </c>
      <c r="M1" s="26" t="s">
        <v>870</v>
      </c>
      <c r="N1" s="26" t="s">
        <v>854</v>
      </c>
      <c r="O1" s="26" t="s">
        <v>855</v>
      </c>
      <c r="P1" s="26" t="s">
        <v>1209</v>
      </c>
      <c r="Q1" s="37" t="s">
        <v>542</v>
      </c>
      <c r="R1" s="26" t="s">
        <v>357</v>
      </c>
      <c r="S1" t="s">
        <v>500</v>
      </c>
    </row>
    <row r="2" spans="1:19">
      <c r="A2" s="26" t="s">
        <v>802</v>
      </c>
      <c r="B2" s="26" t="b">
        <v>1</v>
      </c>
      <c r="C2" s="26" t="s">
        <v>802</v>
      </c>
      <c r="D2" s="38" t="s">
        <v>1270</v>
      </c>
      <c r="E2" s="26">
        <v>0</v>
      </c>
      <c r="F2" s="26" t="s">
        <v>471</v>
      </c>
      <c r="G2" s="26" t="s">
        <v>499</v>
      </c>
      <c r="H2" s="26"/>
      <c r="I2" s="38" t="s">
        <v>494</v>
      </c>
      <c r="J2" s="26">
        <v>0</v>
      </c>
      <c r="K2" s="26"/>
      <c r="L2" s="26"/>
      <c r="M2" s="26"/>
      <c r="N2" s="26"/>
      <c r="O2" s="26"/>
      <c r="P2" s="26" t="b">
        <v>0</v>
      </c>
      <c r="Q2" s="37"/>
      <c r="R2" s="26"/>
    </row>
    <row r="3" spans="1:19">
      <c r="A3" s="26" t="s">
        <v>802</v>
      </c>
      <c r="B3" s="26" t="b">
        <v>1</v>
      </c>
      <c r="C3" s="26" t="s">
        <v>802</v>
      </c>
      <c r="D3" s="26" t="s">
        <v>803</v>
      </c>
      <c r="E3" s="26">
        <v>1</v>
      </c>
      <c r="F3" s="26" t="s">
        <v>730</v>
      </c>
      <c r="G3" s="26" t="s">
        <v>499</v>
      </c>
      <c r="H3" s="26" t="s">
        <v>731</v>
      </c>
      <c r="I3" s="26" t="s">
        <v>731</v>
      </c>
      <c r="J3" s="26"/>
      <c r="K3" s="26"/>
      <c r="L3" s="26"/>
      <c r="M3" s="26"/>
      <c r="N3" s="26" t="s">
        <v>510</v>
      </c>
      <c r="O3" s="26" t="b">
        <v>1</v>
      </c>
      <c r="P3" s="26" t="b">
        <v>0</v>
      </c>
      <c r="Q3" s="26" t="s">
        <v>802</v>
      </c>
      <c r="R3" s="26"/>
    </row>
    <row r="4" spans="1:19">
      <c r="A4" s="26" t="s">
        <v>1146</v>
      </c>
      <c r="B4" s="26" t="b">
        <v>1</v>
      </c>
      <c r="C4" s="26" t="s">
        <v>802</v>
      </c>
      <c r="D4" s="26" t="s">
        <v>804</v>
      </c>
      <c r="E4" s="26">
        <v>0</v>
      </c>
      <c r="F4" s="26" t="s">
        <v>804</v>
      </c>
      <c r="G4" s="26" t="s">
        <v>804</v>
      </c>
      <c r="H4" s="26" t="s">
        <v>804</v>
      </c>
      <c r="I4" s="26"/>
      <c r="J4" s="26"/>
      <c r="K4" s="26"/>
      <c r="L4" s="26"/>
      <c r="M4" s="26"/>
      <c r="N4" s="26"/>
      <c r="O4" s="26"/>
      <c r="P4" s="26" t="b">
        <v>0</v>
      </c>
      <c r="Q4" s="26"/>
      <c r="R4" s="26"/>
    </row>
    <row r="5" spans="1:19" ht="16.5">
      <c r="A5" s="40" t="s">
        <v>1252</v>
      </c>
      <c r="B5" s="26" t="b">
        <v>1</v>
      </c>
      <c r="C5" s="26" t="s">
        <v>802</v>
      </c>
      <c r="D5" s="38" t="s">
        <v>1266</v>
      </c>
      <c r="E5" s="26">
        <v>0</v>
      </c>
      <c r="F5" s="26" t="s">
        <v>471</v>
      </c>
      <c r="G5" s="26" t="s">
        <v>473</v>
      </c>
      <c r="H5" s="26" t="s">
        <v>473</v>
      </c>
      <c r="I5" s="38" t="s">
        <v>494</v>
      </c>
      <c r="J5" s="26"/>
      <c r="K5" s="26"/>
      <c r="L5" s="26"/>
      <c r="M5" s="26"/>
      <c r="N5" s="26"/>
      <c r="O5" s="26"/>
      <c r="P5" s="26" t="b">
        <v>0</v>
      </c>
      <c r="Q5" s="37" t="s">
        <v>1268</v>
      </c>
      <c r="R5" s="26"/>
    </row>
    <row r="6" spans="1:19">
      <c r="A6" s="42" t="s">
        <v>1254</v>
      </c>
      <c r="B6" s="26" t="b">
        <v>1</v>
      </c>
      <c r="C6" s="26" t="s">
        <v>802</v>
      </c>
      <c r="D6" s="38" t="s">
        <v>1267</v>
      </c>
      <c r="E6" s="26">
        <v>0</v>
      </c>
      <c r="F6" s="26" t="s">
        <v>471</v>
      </c>
      <c r="G6" s="26" t="s">
        <v>473</v>
      </c>
      <c r="H6" s="26" t="s">
        <v>473</v>
      </c>
      <c r="I6" s="38" t="s">
        <v>494</v>
      </c>
      <c r="J6" s="26"/>
      <c r="K6" s="26"/>
      <c r="L6" s="26"/>
      <c r="M6" s="26"/>
      <c r="N6" s="26"/>
      <c r="O6" s="26"/>
      <c r="P6" s="26" t="b">
        <v>0</v>
      </c>
      <c r="Q6" s="37" t="s">
        <v>1269</v>
      </c>
      <c r="R6" s="26"/>
    </row>
    <row r="7" spans="1:19">
      <c r="A7" s="26" t="s">
        <v>339</v>
      </c>
      <c r="B7" s="26" t="b">
        <v>1</v>
      </c>
      <c r="C7" s="26" t="s">
        <v>802</v>
      </c>
      <c r="D7" s="38" t="s">
        <v>782</v>
      </c>
      <c r="E7" s="26">
        <v>0</v>
      </c>
      <c r="F7" s="26" t="s">
        <v>471</v>
      </c>
      <c r="G7" s="26" t="s">
        <v>473</v>
      </c>
      <c r="H7" s="26" t="s">
        <v>473</v>
      </c>
      <c r="I7" s="38" t="s">
        <v>494</v>
      </c>
      <c r="J7" s="26"/>
      <c r="K7" s="26"/>
      <c r="L7" s="26"/>
      <c r="M7" s="26"/>
      <c r="N7" s="26"/>
      <c r="O7" s="26"/>
      <c r="P7" s="26" t="b">
        <v>0</v>
      </c>
      <c r="Q7" s="37" t="s">
        <v>820</v>
      </c>
      <c r="R7" s="26"/>
    </row>
    <row r="8" spans="1:19" ht="16.5">
      <c r="A8" s="40" t="s">
        <v>342</v>
      </c>
      <c r="B8" s="26" t="b">
        <v>1</v>
      </c>
      <c r="C8" s="26" t="s">
        <v>802</v>
      </c>
      <c r="D8" s="38" t="s">
        <v>783</v>
      </c>
      <c r="E8" s="26">
        <v>0</v>
      </c>
      <c r="F8" s="26" t="s">
        <v>471</v>
      </c>
      <c r="G8" s="26" t="s">
        <v>473</v>
      </c>
      <c r="H8" s="26" t="s">
        <v>473</v>
      </c>
      <c r="I8" s="38" t="s">
        <v>494</v>
      </c>
      <c r="J8" s="26"/>
      <c r="K8" s="26"/>
      <c r="L8" s="26"/>
      <c r="M8" s="26"/>
      <c r="N8" s="26"/>
      <c r="O8" s="26"/>
      <c r="P8" s="26" t="b">
        <v>0</v>
      </c>
      <c r="Q8" s="37" t="s">
        <v>821</v>
      </c>
      <c r="R8" s="26"/>
    </row>
    <row r="9" spans="1:19" ht="16.5">
      <c r="A9" s="40" t="s">
        <v>333</v>
      </c>
      <c r="B9" s="26" t="b">
        <v>1</v>
      </c>
      <c r="C9" s="26" t="s">
        <v>802</v>
      </c>
      <c r="D9" s="38" t="s">
        <v>784</v>
      </c>
      <c r="E9" s="26">
        <v>0</v>
      </c>
      <c r="F9" s="26" t="s">
        <v>471</v>
      </c>
      <c r="G9" s="26" t="s">
        <v>473</v>
      </c>
      <c r="H9" s="26" t="s">
        <v>473</v>
      </c>
      <c r="I9" s="38" t="s">
        <v>494</v>
      </c>
      <c r="J9" s="26"/>
      <c r="K9" s="26"/>
      <c r="L9" s="26"/>
      <c r="M9" s="26"/>
      <c r="N9" s="26"/>
      <c r="O9" s="26"/>
      <c r="P9" s="26" t="b">
        <v>0</v>
      </c>
      <c r="Q9" s="37" t="s">
        <v>817</v>
      </c>
      <c r="R9" s="26"/>
    </row>
    <row r="10" spans="1:19" ht="16.5">
      <c r="A10" s="40" t="s">
        <v>336</v>
      </c>
      <c r="B10" s="26" t="b">
        <v>1</v>
      </c>
      <c r="C10" s="26" t="s">
        <v>802</v>
      </c>
      <c r="D10" s="38" t="s">
        <v>785</v>
      </c>
      <c r="E10" s="26">
        <v>0</v>
      </c>
      <c r="F10" s="26" t="s">
        <v>471</v>
      </c>
      <c r="G10" s="26" t="s">
        <v>473</v>
      </c>
      <c r="H10" s="26" t="s">
        <v>473</v>
      </c>
      <c r="I10" s="38" t="s">
        <v>494</v>
      </c>
      <c r="J10" s="26"/>
      <c r="K10" s="26"/>
      <c r="L10" s="26"/>
      <c r="M10" s="26"/>
      <c r="N10" s="26"/>
      <c r="O10" s="26"/>
      <c r="P10" s="26" t="b">
        <v>0</v>
      </c>
      <c r="Q10" s="37" t="s">
        <v>818</v>
      </c>
      <c r="R10" s="26"/>
    </row>
    <row r="11" spans="1:19" ht="16.5">
      <c r="A11" s="40" t="s">
        <v>337</v>
      </c>
      <c r="B11" s="26" t="b">
        <v>1</v>
      </c>
      <c r="C11" s="26" t="s">
        <v>802</v>
      </c>
      <c r="D11" s="38" t="s">
        <v>786</v>
      </c>
      <c r="E11" s="26">
        <v>0</v>
      </c>
      <c r="F11" s="26" t="s">
        <v>471</v>
      </c>
      <c r="G11" s="26" t="s">
        <v>473</v>
      </c>
      <c r="H11" s="26" t="s">
        <v>473</v>
      </c>
      <c r="I11" s="38" t="s">
        <v>494</v>
      </c>
      <c r="J11" s="26"/>
      <c r="K11" s="26"/>
      <c r="L11" s="26"/>
      <c r="M11" s="26"/>
      <c r="N11" s="26"/>
      <c r="O11" s="26"/>
      <c r="P11" s="26" t="b">
        <v>0</v>
      </c>
      <c r="Q11" s="37" t="s">
        <v>819</v>
      </c>
      <c r="R11" s="26"/>
    </row>
    <row r="12" spans="1:19" ht="16.5">
      <c r="A12" s="43" t="s">
        <v>346</v>
      </c>
      <c r="B12" s="26" t="b">
        <v>1</v>
      </c>
      <c r="C12" s="26" t="s">
        <v>802</v>
      </c>
      <c r="D12" s="38" t="s">
        <v>790</v>
      </c>
      <c r="E12" s="26">
        <v>0</v>
      </c>
      <c r="F12" s="26" t="s">
        <v>474</v>
      </c>
      <c r="G12" s="26" t="s">
        <v>473</v>
      </c>
      <c r="H12" s="26" t="s">
        <v>473</v>
      </c>
      <c r="I12" s="38" t="s">
        <v>494</v>
      </c>
      <c r="J12" s="26"/>
      <c r="K12" s="26"/>
      <c r="L12" s="26"/>
      <c r="M12" s="26"/>
      <c r="N12" s="26"/>
      <c r="O12" s="26"/>
      <c r="P12" s="26" t="b">
        <v>0</v>
      </c>
      <c r="Q12" s="37" t="s">
        <v>598</v>
      </c>
      <c r="R12" s="26"/>
    </row>
    <row r="13" spans="1:19" ht="16.5">
      <c r="A13" s="44" t="s">
        <v>354</v>
      </c>
      <c r="B13" s="26" t="b">
        <v>1</v>
      </c>
      <c r="C13" s="26" t="s">
        <v>802</v>
      </c>
      <c r="D13" s="38" t="s">
        <v>791</v>
      </c>
      <c r="E13" s="26">
        <v>0</v>
      </c>
      <c r="F13" s="26" t="s">
        <v>471</v>
      </c>
      <c r="G13" s="26" t="s">
        <v>473</v>
      </c>
      <c r="H13" s="26" t="s">
        <v>473</v>
      </c>
      <c r="I13" s="38" t="s">
        <v>494</v>
      </c>
      <c r="J13" s="26"/>
      <c r="K13" s="26"/>
      <c r="L13" s="26"/>
      <c r="M13" s="26"/>
      <c r="N13" s="26"/>
      <c r="O13" s="26"/>
      <c r="P13" s="26" t="b">
        <v>0</v>
      </c>
      <c r="Q13" s="37" t="s">
        <v>601</v>
      </c>
      <c r="R13" s="26"/>
    </row>
    <row r="14" spans="1:19" ht="16.5">
      <c r="A14" s="43" t="s">
        <v>856</v>
      </c>
      <c r="B14" s="26" t="b">
        <v>1</v>
      </c>
      <c r="C14" s="26" t="s">
        <v>802</v>
      </c>
      <c r="D14" s="38" t="s">
        <v>792</v>
      </c>
      <c r="E14" s="26">
        <v>0</v>
      </c>
      <c r="F14" s="26" t="s">
        <v>471</v>
      </c>
      <c r="G14" s="26" t="s">
        <v>364</v>
      </c>
      <c r="H14" s="26" t="s">
        <v>364</v>
      </c>
      <c r="I14" s="26" t="s">
        <v>364</v>
      </c>
      <c r="J14" s="26"/>
      <c r="K14" s="26"/>
      <c r="L14" s="26"/>
      <c r="M14" s="26" t="s">
        <v>905</v>
      </c>
      <c r="N14" s="26"/>
      <c r="O14" s="26"/>
      <c r="P14" s="26" t="b">
        <v>0</v>
      </c>
      <c r="Q14" s="37" t="s">
        <v>871</v>
      </c>
      <c r="R14" s="26"/>
    </row>
    <row r="15" spans="1:19" ht="16.5">
      <c r="A15" s="40" t="s">
        <v>351</v>
      </c>
      <c r="B15" s="26" t="b">
        <v>1</v>
      </c>
      <c r="C15" s="26" t="s">
        <v>802</v>
      </c>
      <c r="D15" s="38" t="s">
        <v>787</v>
      </c>
      <c r="E15" s="26">
        <v>0</v>
      </c>
      <c r="F15" s="26" t="s">
        <v>471</v>
      </c>
      <c r="G15" s="26" t="s">
        <v>473</v>
      </c>
      <c r="H15" s="26" t="s">
        <v>473</v>
      </c>
      <c r="I15" s="38" t="s">
        <v>494</v>
      </c>
      <c r="J15" s="26"/>
      <c r="K15" s="26"/>
      <c r="L15" s="26"/>
      <c r="M15" s="26"/>
      <c r="N15" s="26"/>
      <c r="O15" s="26"/>
      <c r="P15" s="26" t="b">
        <v>0</v>
      </c>
      <c r="Q15" s="37">
        <v>0</v>
      </c>
      <c r="R15" s="26"/>
    </row>
    <row r="16" spans="1:19" ht="16.5">
      <c r="A16" s="40" t="s">
        <v>857</v>
      </c>
      <c r="B16" s="26" t="b">
        <v>1</v>
      </c>
      <c r="C16" s="26" t="s">
        <v>802</v>
      </c>
      <c r="D16" s="38" t="s">
        <v>1065</v>
      </c>
      <c r="E16" s="26">
        <v>0</v>
      </c>
      <c r="F16" s="26" t="s">
        <v>471</v>
      </c>
      <c r="G16" s="26" t="s">
        <v>364</v>
      </c>
      <c r="H16" s="26" t="s">
        <v>364</v>
      </c>
      <c r="I16" s="26" t="s">
        <v>364</v>
      </c>
      <c r="J16" s="26"/>
      <c r="K16" s="26"/>
      <c r="L16" s="26"/>
      <c r="M16" s="26" t="s">
        <v>905</v>
      </c>
      <c r="N16" s="26"/>
      <c r="O16" s="26"/>
      <c r="P16" s="26" t="b">
        <v>0</v>
      </c>
      <c r="Q16" s="37" t="s">
        <v>871</v>
      </c>
      <c r="R16" s="26"/>
    </row>
    <row r="17" spans="1:18" ht="16.5">
      <c r="A17" s="40" t="s">
        <v>352</v>
      </c>
      <c r="B17" s="26" t="b">
        <v>1</v>
      </c>
      <c r="C17" s="26" t="s">
        <v>802</v>
      </c>
      <c r="D17" s="38" t="s">
        <v>788</v>
      </c>
      <c r="E17" s="26">
        <v>0</v>
      </c>
      <c r="F17" s="26" t="s">
        <v>471</v>
      </c>
      <c r="G17" s="26" t="s">
        <v>473</v>
      </c>
      <c r="H17" s="26" t="s">
        <v>473</v>
      </c>
      <c r="I17" s="38" t="s">
        <v>494</v>
      </c>
      <c r="J17" s="26"/>
      <c r="K17" s="26"/>
      <c r="L17" s="26"/>
      <c r="M17" s="26"/>
      <c r="N17" s="26"/>
      <c r="O17" s="26"/>
      <c r="P17" s="26" t="b">
        <v>0</v>
      </c>
      <c r="Q17" s="37">
        <v>0</v>
      </c>
      <c r="R17" s="26"/>
    </row>
    <row r="18" spans="1:18" ht="16.5">
      <c r="A18" s="40" t="s">
        <v>858</v>
      </c>
      <c r="B18" s="26" t="b">
        <v>1</v>
      </c>
      <c r="C18" s="26" t="s">
        <v>802</v>
      </c>
      <c r="D18" s="38" t="s">
        <v>789</v>
      </c>
      <c r="E18" s="26">
        <v>0</v>
      </c>
      <c r="F18" s="26" t="s">
        <v>471</v>
      </c>
      <c r="G18" s="26" t="s">
        <v>364</v>
      </c>
      <c r="H18" s="26" t="s">
        <v>364</v>
      </c>
      <c r="I18" s="26" t="s">
        <v>364</v>
      </c>
      <c r="J18" s="26"/>
      <c r="K18" s="26"/>
      <c r="L18" s="26"/>
      <c r="M18" s="26" t="s">
        <v>905</v>
      </c>
      <c r="N18" s="26"/>
      <c r="O18" s="26"/>
      <c r="P18" s="26" t="b">
        <v>0</v>
      </c>
      <c r="Q18" s="37" t="s">
        <v>871</v>
      </c>
      <c r="R18" s="26"/>
    </row>
    <row r="19" spans="1:18" ht="16.5">
      <c r="A19" s="40" t="s">
        <v>546</v>
      </c>
      <c r="B19" s="26" t="b">
        <v>1</v>
      </c>
      <c r="C19" s="26" t="s">
        <v>802</v>
      </c>
      <c r="D19" s="38" t="s">
        <v>793</v>
      </c>
      <c r="E19" s="26">
        <v>0</v>
      </c>
      <c r="F19" s="26" t="s">
        <v>474</v>
      </c>
      <c r="G19" s="26" t="s">
        <v>364</v>
      </c>
      <c r="H19" s="26" t="s">
        <v>364</v>
      </c>
      <c r="I19" s="26" t="s">
        <v>364</v>
      </c>
      <c r="J19" s="26"/>
      <c r="K19" s="26"/>
      <c r="L19" s="26"/>
      <c r="M19" s="26" t="s">
        <v>905</v>
      </c>
      <c r="N19" s="26"/>
      <c r="O19" s="26"/>
      <c r="P19" s="26" t="b">
        <v>0</v>
      </c>
      <c r="Q19" s="37" t="s">
        <v>597</v>
      </c>
      <c r="R19" s="26"/>
    </row>
    <row r="20" spans="1:18" ht="16.5">
      <c r="A20" s="40" t="s">
        <v>543</v>
      </c>
      <c r="B20" s="26" t="b">
        <v>1</v>
      </c>
      <c r="C20" s="26" t="s">
        <v>802</v>
      </c>
      <c r="D20" s="38" t="s">
        <v>794</v>
      </c>
      <c r="E20" s="26">
        <v>0</v>
      </c>
      <c r="F20" s="26" t="s">
        <v>474</v>
      </c>
      <c r="G20" s="26" t="s">
        <v>364</v>
      </c>
      <c r="H20" s="26" t="s">
        <v>364</v>
      </c>
      <c r="I20" s="26" t="s">
        <v>364</v>
      </c>
      <c r="J20" s="26"/>
      <c r="K20" s="26"/>
      <c r="L20" s="26"/>
      <c r="M20" s="26" t="s">
        <v>905</v>
      </c>
      <c r="N20" s="26"/>
      <c r="O20" s="26"/>
      <c r="P20" s="26" t="b">
        <v>0</v>
      </c>
      <c r="Q20" s="37" t="s">
        <v>597</v>
      </c>
      <c r="R20" s="26"/>
    </row>
    <row r="21" spans="1:18" ht="16.5">
      <c r="A21" s="40" t="s">
        <v>1143</v>
      </c>
      <c r="B21" s="26" t="b">
        <v>1</v>
      </c>
      <c r="C21" s="26" t="s">
        <v>802</v>
      </c>
      <c r="D21" s="38" t="s">
        <v>1271</v>
      </c>
      <c r="E21" s="26">
        <v>0</v>
      </c>
      <c r="F21" s="26" t="s">
        <v>471</v>
      </c>
      <c r="G21" s="26" t="s">
        <v>499</v>
      </c>
      <c r="H21" s="26" t="s">
        <v>499</v>
      </c>
      <c r="I21" s="38" t="s">
        <v>494</v>
      </c>
      <c r="J21" s="26"/>
      <c r="K21" s="26"/>
      <c r="L21" s="26">
        <v>5</v>
      </c>
      <c r="M21" s="26"/>
      <c r="N21" s="26"/>
      <c r="O21" s="26"/>
      <c r="P21" s="26" t="b">
        <v>0</v>
      </c>
      <c r="Q21" s="37"/>
      <c r="R21" s="26"/>
    </row>
    <row r="22" spans="1:18">
      <c r="A22" s="26" t="s">
        <v>1144</v>
      </c>
      <c r="B22" s="26" t="b">
        <v>1</v>
      </c>
      <c r="C22" s="26" t="s">
        <v>802</v>
      </c>
      <c r="D22" s="26" t="s">
        <v>804</v>
      </c>
      <c r="E22" s="26">
        <v>0</v>
      </c>
      <c r="F22" s="26" t="s">
        <v>804</v>
      </c>
      <c r="G22" s="26" t="s">
        <v>804</v>
      </c>
      <c r="H22" s="26" t="s">
        <v>804</v>
      </c>
      <c r="I22" s="26"/>
      <c r="J22" s="26"/>
      <c r="K22" s="26"/>
      <c r="L22" s="26"/>
      <c r="M22" s="26"/>
      <c r="N22" s="26"/>
      <c r="O22" s="26"/>
      <c r="P22" s="26" t="b">
        <v>0</v>
      </c>
      <c r="Q22" s="26"/>
      <c r="R22" s="26"/>
    </row>
    <row r="23" spans="1:18">
      <c r="A23" s="26" t="s">
        <v>778</v>
      </c>
      <c r="B23" s="26" t="b">
        <v>1</v>
      </c>
      <c r="C23" s="26" t="s">
        <v>778</v>
      </c>
      <c r="D23" s="38" t="s">
        <v>1270</v>
      </c>
      <c r="E23" s="26">
        <v>0</v>
      </c>
      <c r="F23" s="26" t="s">
        <v>471</v>
      </c>
      <c r="G23" s="26" t="s">
        <v>499</v>
      </c>
      <c r="H23" s="26"/>
      <c r="I23" s="38" t="s">
        <v>494</v>
      </c>
      <c r="J23" s="26">
        <v>0</v>
      </c>
      <c r="K23" s="26"/>
      <c r="L23" s="26"/>
      <c r="M23" s="26"/>
      <c r="N23" s="26"/>
      <c r="O23" s="26"/>
      <c r="P23" s="26" t="b">
        <v>0</v>
      </c>
      <c r="Q23" s="37"/>
      <c r="R23" s="26"/>
    </row>
    <row r="24" spans="1:18">
      <c r="A24" s="26" t="s">
        <v>778</v>
      </c>
      <c r="B24" s="26" t="b">
        <v>1</v>
      </c>
      <c r="C24" s="26" t="s">
        <v>778</v>
      </c>
      <c r="D24" s="26" t="s">
        <v>803</v>
      </c>
      <c r="E24" s="26">
        <v>1</v>
      </c>
      <c r="F24" s="26" t="s">
        <v>730</v>
      </c>
      <c r="G24" s="26" t="s">
        <v>499</v>
      </c>
      <c r="H24" s="26" t="s">
        <v>731</v>
      </c>
      <c r="I24" s="26" t="s">
        <v>731</v>
      </c>
      <c r="J24" s="26"/>
      <c r="K24" s="26"/>
      <c r="L24" s="26"/>
      <c r="M24" s="26"/>
      <c r="N24" s="26" t="s">
        <v>510</v>
      </c>
      <c r="O24" s="26" t="b">
        <v>1</v>
      </c>
      <c r="P24" s="26" t="b">
        <v>0</v>
      </c>
      <c r="Q24" s="26" t="s">
        <v>778</v>
      </c>
      <c r="R24" s="26"/>
    </row>
    <row r="25" spans="1:18">
      <c r="A25" s="26" t="s">
        <v>1147</v>
      </c>
      <c r="B25" s="26" t="b">
        <v>1</v>
      </c>
      <c r="C25" s="26" t="s">
        <v>778</v>
      </c>
      <c r="D25" s="26" t="s">
        <v>804</v>
      </c>
      <c r="E25" s="26">
        <v>0</v>
      </c>
      <c r="F25" s="26" t="s">
        <v>804</v>
      </c>
      <c r="G25" s="26" t="s">
        <v>804</v>
      </c>
      <c r="H25" s="26" t="s">
        <v>804</v>
      </c>
      <c r="I25" s="26"/>
      <c r="J25" s="26"/>
      <c r="K25" s="26"/>
      <c r="L25" s="26"/>
      <c r="M25" s="26"/>
      <c r="N25" s="26"/>
      <c r="O25" s="26"/>
      <c r="P25" s="26" t="b">
        <v>0</v>
      </c>
      <c r="Q25" s="26"/>
      <c r="R25" s="26"/>
    </row>
    <row r="26" spans="1:18">
      <c r="A26" s="26" t="s">
        <v>544</v>
      </c>
      <c r="B26" s="26" t="b">
        <v>1</v>
      </c>
      <c r="C26" s="26" t="s">
        <v>778</v>
      </c>
      <c r="D26" s="38" t="s">
        <v>798</v>
      </c>
      <c r="E26" s="26">
        <v>0</v>
      </c>
      <c r="F26" s="26" t="s">
        <v>471</v>
      </c>
      <c r="G26" s="26" t="s">
        <v>473</v>
      </c>
      <c r="H26" s="26" t="s">
        <v>473</v>
      </c>
      <c r="I26" s="38" t="s">
        <v>494</v>
      </c>
      <c r="J26" s="26"/>
      <c r="K26" s="26"/>
      <c r="L26" s="26"/>
      <c r="M26" s="26"/>
      <c r="N26" s="26"/>
      <c r="O26" s="26"/>
      <c r="P26" s="26" t="b">
        <v>0</v>
      </c>
      <c r="Q26" s="37" t="s">
        <v>631</v>
      </c>
      <c r="R26" s="26"/>
    </row>
    <row r="27" spans="1:18">
      <c r="A27" s="26" t="s">
        <v>545</v>
      </c>
      <c r="B27" s="26" t="b">
        <v>1</v>
      </c>
      <c r="C27" s="26" t="s">
        <v>778</v>
      </c>
      <c r="D27" s="38" t="s">
        <v>799</v>
      </c>
      <c r="E27" s="26">
        <v>0</v>
      </c>
      <c r="F27" s="26" t="s">
        <v>471</v>
      </c>
      <c r="G27" s="26" t="s">
        <v>473</v>
      </c>
      <c r="H27" s="26" t="s">
        <v>473</v>
      </c>
      <c r="I27" s="38" t="s">
        <v>494</v>
      </c>
      <c r="J27" s="26"/>
      <c r="K27" s="26"/>
      <c r="L27" s="26"/>
      <c r="M27" s="26"/>
      <c r="N27" s="26"/>
      <c r="O27" s="26"/>
      <c r="P27" s="26" t="b">
        <v>0</v>
      </c>
      <c r="Q27" s="37" t="s">
        <v>631</v>
      </c>
      <c r="R27" s="26"/>
    </row>
    <row r="28" spans="1:18">
      <c r="A28" s="26" t="s">
        <v>781</v>
      </c>
      <c r="B28" s="26" t="b">
        <v>1</v>
      </c>
      <c r="C28" s="26" t="s">
        <v>778</v>
      </c>
      <c r="D28" s="38" t="s">
        <v>800</v>
      </c>
      <c r="E28" s="26">
        <v>0</v>
      </c>
      <c r="F28" s="26" t="s">
        <v>471</v>
      </c>
      <c r="G28" s="26" t="s">
        <v>499</v>
      </c>
      <c r="H28" s="26" t="s">
        <v>499</v>
      </c>
      <c r="I28" s="38" t="s">
        <v>494</v>
      </c>
      <c r="J28" s="26"/>
      <c r="K28" s="26"/>
      <c r="L28" s="26"/>
      <c r="M28" s="26"/>
      <c r="N28" s="26"/>
      <c r="O28" s="26"/>
      <c r="P28" s="26" t="b">
        <v>0</v>
      </c>
      <c r="Q28" s="37" t="s">
        <v>631</v>
      </c>
      <c r="R28" s="26"/>
    </row>
    <row r="29" spans="1:18">
      <c r="A29" s="26" t="s">
        <v>1145</v>
      </c>
      <c r="B29" s="26" t="b">
        <v>1</v>
      </c>
      <c r="C29" s="26" t="s">
        <v>778</v>
      </c>
      <c r="D29" s="26" t="s">
        <v>804</v>
      </c>
      <c r="E29" s="26">
        <v>0</v>
      </c>
      <c r="F29" s="26" t="s">
        <v>804</v>
      </c>
      <c r="G29" s="26" t="s">
        <v>804</v>
      </c>
      <c r="H29" s="26" t="s">
        <v>804</v>
      </c>
      <c r="I29" s="26"/>
      <c r="J29" s="26"/>
      <c r="K29" s="26"/>
      <c r="L29" s="26"/>
      <c r="M29" s="26"/>
      <c r="N29" s="26"/>
      <c r="O29" s="26"/>
      <c r="P29" s="26" t="b">
        <v>0</v>
      </c>
      <c r="Q29" s="37" t="s">
        <v>631</v>
      </c>
      <c r="R29" s="26"/>
    </row>
    <row r="30" spans="1:18">
      <c r="A30" s="26" t="s">
        <v>1272</v>
      </c>
      <c r="B30" s="26" t="b">
        <v>1</v>
      </c>
      <c r="C30" s="26" t="s">
        <v>1272</v>
      </c>
      <c r="D30" s="38" t="s">
        <v>1270</v>
      </c>
      <c r="E30" s="26">
        <v>0</v>
      </c>
      <c r="F30" s="26" t="s">
        <v>471</v>
      </c>
      <c r="G30" s="26" t="s">
        <v>499</v>
      </c>
      <c r="H30" s="26"/>
      <c r="I30" s="38" t="s">
        <v>494</v>
      </c>
      <c r="J30" s="26">
        <v>0</v>
      </c>
      <c r="K30" s="26"/>
      <c r="L30" s="26"/>
      <c r="M30" s="26"/>
      <c r="N30" s="26"/>
      <c r="O30" s="26"/>
      <c r="P30" s="26" t="b">
        <v>0</v>
      </c>
      <c r="Q30" s="37"/>
      <c r="R30" s="26"/>
    </row>
    <row r="31" spans="1:18">
      <c r="A31" s="26" t="s">
        <v>1272</v>
      </c>
      <c r="B31" s="26" t="b">
        <v>1</v>
      </c>
      <c r="C31" s="26" t="s">
        <v>1272</v>
      </c>
      <c r="D31" s="26" t="s">
        <v>803</v>
      </c>
      <c r="E31" s="26">
        <v>1</v>
      </c>
      <c r="F31" s="26" t="s">
        <v>730</v>
      </c>
      <c r="G31" s="26" t="s">
        <v>499</v>
      </c>
      <c r="H31" s="26" t="s">
        <v>731</v>
      </c>
      <c r="I31" s="26" t="s">
        <v>731</v>
      </c>
      <c r="J31" s="26"/>
      <c r="K31" s="26"/>
      <c r="L31" s="26"/>
      <c r="M31" s="26"/>
      <c r="N31" s="26" t="s">
        <v>510</v>
      </c>
      <c r="O31" s="26" t="b">
        <v>1</v>
      </c>
      <c r="P31" s="26" t="b">
        <v>0</v>
      </c>
      <c r="Q31" s="26" t="s">
        <v>1272</v>
      </c>
      <c r="R31" s="26"/>
    </row>
    <row r="32" spans="1:18">
      <c r="A32" s="26" t="s">
        <v>1273</v>
      </c>
      <c r="B32" s="26" t="b">
        <v>1</v>
      </c>
      <c r="C32" s="26" t="s">
        <v>1272</v>
      </c>
      <c r="D32" s="26" t="s">
        <v>804</v>
      </c>
      <c r="E32" s="26">
        <v>0</v>
      </c>
      <c r="F32" s="26" t="s">
        <v>804</v>
      </c>
      <c r="G32" s="26" t="s">
        <v>804</v>
      </c>
      <c r="H32" s="26" t="s">
        <v>804</v>
      </c>
      <c r="I32" s="26"/>
      <c r="J32" s="26"/>
      <c r="K32" s="26"/>
      <c r="L32" s="26"/>
      <c r="M32" s="26"/>
      <c r="N32" s="26"/>
      <c r="O32" s="26"/>
      <c r="P32" s="26" t="b">
        <v>0</v>
      </c>
      <c r="Q32" s="26"/>
      <c r="R32" s="26"/>
    </row>
    <row r="33" spans="1:18">
      <c r="A33" s="26" t="s">
        <v>1274</v>
      </c>
      <c r="B33" s="26" t="b">
        <v>1</v>
      </c>
      <c r="C33" s="26" t="s">
        <v>1272</v>
      </c>
      <c r="D33" s="38" t="s">
        <v>1160</v>
      </c>
      <c r="E33" s="26">
        <v>0</v>
      </c>
      <c r="F33" s="26" t="s">
        <v>471</v>
      </c>
      <c r="G33" s="26" t="s">
        <v>473</v>
      </c>
      <c r="H33" s="26" t="s">
        <v>473</v>
      </c>
      <c r="I33" s="38" t="s">
        <v>494</v>
      </c>
      <c r="J33" s="26"/>
      <c r="K33" s="26"/>
      <c r="L33" s="26"/>
      <c r="M33" s="26"/>
      <c r="N33" s="26"/>
      <c r="O33" s="26"/>
      <c r="P33" s="26" t="b">
        <v>0</v>
      </c>
      <c r="Q33" s="37" t="s">
        <v>631</v>
      </c>
      <c r="R33" s="26"/>
    </row>
    <row r="34" spans="1:18">
      <c r="A34" s="26" t="s">
        <v>1275</v>
      </c>
      <c r="B34" s="26" t="b">
        <v>1</v>
      </c>
      <c r="C34" s="26" t="s">
        <v>1272</v>
      </c>
      <c r="D34" s="38" t="s">
        <v>1166</v>
      </c>
      <c r="E34" s="26">
        <v>0</v>
      </c>
      <c r="F34" s="26" t="s">
        <v>471</v>
      </c>
      <c r="G34" s="26" t="s">
        <v>473</v>
      </c>
      <c r="H34" s="26" t="s">
        <v>473</v>
      </c>
      <c r="I34" s="38" t="s">
        <v>494</v>
      </c>
      <c r="J34" s="26"/>
      <c r="K34" s="26"/>
      <c r="L34" s="26"/>
      <c r="M34" s="26"/>
      <c r="N34" s="26"/>
      <c r="O34" s="26"/>
      <c r="P34" s="26" t="b">
        <v>0</v>
      </c>
      <c r="Q34" s="37" t="s">
        <v>631</v>
      </c>
      <c r="R34" s="26"/>
    </row>
    <row r="35" spans="1:18">
      <c r="A35" s="26" t="s">
        <v>1276</v>
      </c>
      <c r="B35" s="26" t="b">
        <v>1</v>
      </c>
      <c r="C35" s="26" t="s">
        <v>1272</v>
      </c>
      <c r="D35" s="38" t="s">
        <v>1164</v>
      </c>
      <c r="E35" s="26">
        <v>0</v>
      </c>
      <c r="F35" s="26" t="s">
        <v>471</v>
      </c>
      <c r="G35" s="26" t="s">
        <v>473</v>
      </c>
      <c r="H35" s="26" t="s">
        <v>473</v>
      </c>
      <c r="I35" s="38" t="s">
        <v>494</v>
      </c>
      <c r="J35" s="26"/>
      <c r="K35" s="26"/>
      <c r="L35" s="26"/>
      <c r="M35" s="26"/>
      <c r="N35" s="26"/>
      <c r="O35" s="26"/>
      <c r="P35" s="26" t="b">
        <v>0</v>
      </c>
      <c r="Q35" s="37" t="s">
        <v>631</v>
      </c>
      <c r="R35" s="26"/>
    </row>
    <row r="36" spans="1:18">
      <c r="A36" s="26" t="s">
        <v>1287</v>
      </c>
      <c r="B36" s="26" t="b">
        <v>1</v>
      </c>
      <c r="C36" s="26" t="s">
        <v>1272</v>
      </c>
      <c r="D36" s="38" t="s">
        <v>1281</v>
      </c>
      <c r="E36" s="26">
        <v>0</v>
      </c>
      <c r="F36" s="26" t="s">
        <v>474</v>
      </c>
      <c r="G36" s="26" t="s">
        <v>364</v>
      </c>
      <c r="H36" s="26" t="s">
        <v>364</v>
      </c>
      <c r="I36" s="26" t="s">
        <v>364</v>
      </c>
      <c r="J36" s="26"/>
      <c r="K36" s="26"/>
      <c r="L36" s="26"/>
      <c r="M36" s="26" t="s">
        <v>905</v>
      </c>
      <c r="N36" s="26"/>
      <c r="O36" s="26"/>
      <c r="P36" s="26" t="b">
        <v>0</v>
      </c>
      <c r="Q36" s="37" t="s">
        <v>871</v>
      </c>
      <c r="R36" s="26"/>
    </row>
    <row r="37" spans="1:18">
      <c r="A37" s="26" t="s">
        <v>1277</v>
      </c>
      <c r="B37" s="26" t="b">
        <v>1</v>
      </c>
      <c r="C37" s="26" t="s">
        <v>1272</v>
      </c>
      <c r="D37" s="38" t="s">
        <v>1280</v>
      </c>
      <c r="E37" s="26">
        <v>0</v>
      </c>
      <c r="F37" s="26" t="s">
        <v>474</v>
      </c>
      <c r="G37" s="26" t="s">
        <v>364</v>
      </c>
      <c r="H37" s="26" t="s">
        <v>364</v>
      </c>
      <c r="I37" s="26" t="s">
        <v>364</v>
      </c>
      <c r="J37" s="26"/>
      <c r="K37" s="26"/>
      <c r="L37" s="26"/>
      <c r="M37" s="26" t="s">
        <v>905</v>
      </c>
      <c r="N37" s="26"/>
      <c r="O37" s="26"/>
      <c r="P37" s="26" t="b">
        <v>0</v>
      </c>
      <c r="Q37" s="37" t="s">
        <v>871</v>
      </c>
      <c r="R37" s="26"/>
    </row>
    <row r="38" spans="1:18">
      <c r="A38" s="26" t="s">
        <v>1278</v>
      </c>
      <c r="B38" s="26" t="b">
        <v>1</v>
      </c>
      <c r="C38" s="26" t="s">
        <v>1272</v>
      </c>
      <c r="D38" s="38" t="s">
        <v>1279</v>
      </c>
      <c r="E38" s="26">
        <v>0</v>
      </c>
      <c r="F38" s="26" t="s">
        <v>474</v>
      </c>
      <c r="G38" s="26" t="s">
        <v>364</v>
      </c>
      <c r="H38" s="26" t="s">
        <v>364</v>
      </c>
      <c r="I38" s="26" t="s">
        <v>364</v>
      </c>
      <c r="J38" s="26"/>
      <c r="K38" s="26"/>
      <c r="L38" s="26"/>
      <c r="M38" s="26" t="s">
        <v>905</v>
      </c>
      <c r="N38" s="26"/>
      <c r="O38" s="26"/>
      <c r="P38" s="26" t="b">
        <v>0</v>
      </c>
      <c r="Q38" s="37" t="s">
        <v>871</v>
      </c>
      <c r="R38" s="26"/>
    </row>
    <row r="39" spans="1:18" ht="16.5">
      <c r="A39" s="40" t="s">
        <v>1282</v>
      </c>
      <c r="B39" s="26" t="b">
        <v>1</v>
      </c>
      <c r="C39" s="26" t="s">
        <v>1272</v>
      </c>
      <c r="D39" s="38" t="s">
        <v>1284</v>
      </c>
      <c r="E39" s="26">
        <v>0</v>
      </c>
      <c r="F39" s="26" t="s">
        <v>471</v>
      </c>
      <c r="G39" s="26" t="s">
        <v>499</v>
      </c>
      <c r="H39" s="26" t="s">
        <v>499</v>
      </c>
      <c r="I39" s="38" t="s">
        <v>494</v>
      </c>
      <c r="J39" s="26"/>
      <c r="K39" s="26"/>
      <c r="L39" s="26">
        <v>5</v>
      </c>
      <c r="M39" s="26"/>
      <c r="N39" s="26"/>
      <c r="O39" s="26"/>
      <c r="P39" s="26" t="b">
        <v>0</v>
      </c>
      <c r="Q39" s="37"/>
      <c r="R39" s="26"/>
    </row>
    <row r="40" spans="1:18">
      <c r="A40" s="26" t="s">
        <v>1283</v>
      </c>
      <c r="B40" s="26" t="b">
        <v>1</v>
      </c>
      <c r="C40" s="26" t="s">
        <v>1272</v>
      </c>
      <c r="D40" s="26" t="s">
        <v>804</v>
      </c>
      <c r="E40" s="26">
        <v>0</v>
      </c>
      <c r="F40" s="26" t="s">
        <v>804</v>
      </c>
      <c r="G40" s="26" t="s">
        <v>804</v>
      </c>
      <c r="H40" s="26" t="s">
        <v>804</v>
      </c>
      <c r="I40" s="26"/>
      <c r="J40" s="26"/>
      <c r="K40" s="26"/>
      <c r="L40" s="26"/>
      <c r="M40" s="26"/>
      <c r="N40" s="26"/>
      <c r="O40" s="26"/>
      <c r="P40" s="26" t="b">
        <v>0</v>
      </c>
      <c r="Q40" s="26"/>
      <c r="R40" s="26"/>
    </row>
    <row r="41" spans="1:18">
      <c r="A41" s="26" t="s">
        <v>755</v>
      </c>
      <c r="B41" s="26" t="b">
        <v>1</v>
      </c>
      <c r="C41" s="26" t="s">
        <v>755</v>
      </c>
      <c r="D41" s="38" t="s">
        <v>1270</v>
      </c>
      <c r="E41" s="26">
        <v>0</v>
      </c>
      <c r="F41" s="26" t="s">
        <v>471</v>
      </c>
      <c r="G41" s="26" t="s">
        <v>499</v>
      </c>
      <c r="H41" s="26"/>
      <c r="I41" s="38" t="s">
        <v>494</v>
      </c>
      <c r="J41" s="26">
        <v>0</v>
      </c>
      <c r="K41" s="26"/>
      <c r="L41" s="26"/>
      <c r="M41" s="26"/>
      <c r="N41" s="26"/>
      <c r="O41" s="26"/>
      <c r="P41" s="26" t="b">
        <v>0</v>
      </c>
      <c r="Q41" s="37"/>
      <c r="R41" s="26"/>
    </row>
    <row r="42" spans="1:18">
      <c r="A42" s="26" t="s">
        <v>755</v>
      </c>
      <c r="B42" s="26" t="b">
        <v>1</v>
      </c>
      <c r="C42" s="26" t="s">
        <v>755</v>
      </c>
      <c r="D42" s="26" t="s">
        <v>803</v>
      </c>
      <c r="E42" s="26">
        <v>1</v>
      </c>
      <c r="F42" s="26" t="s">
        <v>730</v>
      </c>
      <c r="G42" s="26" t="s">
        <v>499</v>
      </c>
      <c r="H42" s="26" t="s">
        <v>731</v>
      </c>
      <c r="I42" s="26" t="s">
        <v>731</v>
      </c>
      <c r="J42" s="26"/>
      <c r="K42" s="26"/>
      <c r="L42" s="26"/>
      <c r="M42" s="26"/>
      <c r="N42" s="26" t="s">
        <v>510</v>
      </c>
      <c r="O42" s="26" t="b">
        <v>1</v>
      </c>
      <c r="P42" s="26" t="b">
        <v>0</v>
      </c>
      <c r="Q42" s="26" t="s">
        <v>755</v>
      </c>
      <c r="R42" s="26"/>
    </row>
    <row r="43" spans="1:18">
      <c r="A43" s="21" t="s">
        <v>575</v>
      </c>
      <c r="B43" s="26" t="b">
        <v>1</v>
      </c>
      <c r="C43" s="26" t="s">
        <v>755</v>
      </c>
      <c r="D43" s="38" t="s">
        <v>1169</v>
      </c>
      <c r="E43" s="26">
        <v>0</v>
      </c>
      <c r="F43" s="26" t="s">
        <v>471</v>
      </c>
      <c r="G43" s="26" t="s">
        <v>473</v>
      </c>
      <c r="H43" s="26" t="s">
        <v>473</v>
      </c>
      <c r="I43" s="38" t="s">
        <v>494</v>
      </c>
      <c r="J43" s="26">
        <v>4</v>
      </c>
      <c r="K43" s="26"/>
      <c r="L43" s="26">
        <v>5</v>
      </c>
      <c r="M43" s="26"/>
      <c r="N43" s="26"/>
      <c r="O43" s="26"/>
      <c r="P43" s="26" t="b">
        <v>0</v>
      </c>
      <c r="Q43" s="37" t="s">
        <v>631</v>
      </c>
      <c r="R43" s="26"/>
    </row>
    <row r="44" spans="1:18">
      <c r="A44" s="21" t="s">
        <v>576</v>
      </c>
      <c r="B44" s="26" t="b">
        <v>1</v>
      </c>
      <c r="C44" s="26" t="s">
        <v>755</v>
      </c>
      <c r="D44" s="38" t="s">
        <v>1170</v>
      </c>
      <c r="E44" s="26">
        <v>0</v>
      </c>
      <c r="F44" s="26" t="s">
        <v>471</v>
      </c>
      <c r="G44" s="26" t="s">
        <v>473</v>
      </c>
      <c r="H44" s="26" t="s">
        <v>473</v>
      </c>
      <c r="I44" s="38" t="s">
        <v>494</v>
      </c>
      <c r="J44" s="26">
        <v>0</v>
      </c>
      <c r="K44" s="26"/>
      <c r="L44" s="26">
        <v>5</v>
      </c>
      <c r="M44" s="26"/>
      <c r="N44" s="26"/>
      <c r="O44" s="26"/>
      <c r="P44" s="26" t="b">
        <v>0</v>
      </c>
      <c r="Q44" s="37" t="s">
        <v>631</v>
      </c>
      <c r="R44" s="26"/>
    </row>
    <row r="45" spans="1:18">
      <c r="A45" s="21" t="s">
        <v>577</v>
      </c>
      <c r="B45" s="26" t="b">
        <v>1</v>
      </c>
      <c r="C45" s="26" t="s">
        <v>755</v>
      </c>
      <c r="D45" s="38" t="s">
        <v>1171</v>
      </c>
      <c r="E45" s="26">
        <v>0</v>
      </c>
      <c r="F45" s="26" t="s">
        <v>471</v>
      </c>
      <c r="G45" s="26" t="s">
        <v>473</v>
      </c>
      <c r="H45" s="26" t="s">
        <v>473</v>
      </c>
      <c r="I45" s="38" t="s">
        <v>494</v>
      </c>
      <c r="J45" s="26"/>
      <c r="K45" s="26"/>
      <c r="L45" s="26">
        <v>5</v>
      </c>
      <c r="M45" s="37"/>
      <c r="N45" s="26"/>
      <c r="O45" s="26"/>
      <c r="P45" s="26" t="b">
        <v>0</v>
      </c>
      <c r="Q45" s="37" t="s">
        <v>631</v>
      </c>
      <c r="R45" s="26"/>
    </row>
    <row r="46" spans="1:18">
      <c r="A46" s="21" t="s">
        <v>578</v>
      </c>
      <c r="B46" s="26" t="b">
        <v>1</v>
      </c>
      <c r="C46" s="26" t="s">
        <v>755</v>
      </c>
      <c r="D46" s="38" t="s">
        <v>1172</v>
      </c>
      <c r="E46" s="26">
        <v>0</v>
      </c>
      <c r="F46" s="26" t="s">
        <v>471</v>
      </c>
      <c r="G46" s="26" t="s">
        <v>473</v>
      </c>
      <c r="H46" s="26" t="s">
        <v>473</v>
      </c>
      <c r="I46" s="38" t="s">
        <v>494</v>
      </c>
      <c r="J46" s="26"/>
      <c r="K46" s="26"/>
      <c r="L46" s="26"/>
      <c r="M46" s="26"/>
      <c r="N46" s="26"/>
      <c r="O46" s="26"/>
      <c r="P46" s="26" t="b">
        <v>0</v>
      </c>
      <c r="Q46" s="37" t="s">
        <v>631</v>
      </c>
      <c r="R46" s="26"/>
    </row>
    <row r="47" spans="1:18">
      <c r="A47" s="21" t="s">
        <v>579</v>
      </c>
      <c r="B47" s="26" t="b">
        <v>1</v>
      </c>
      <c r="C47" s="26" t="s">
        <v>755</v>
      </c>
      <c r="D47" s="38" t="s">
        <v>1173</v>
      </c>
      <c r="E47" s="26">
        <v>0</v>
      </c>
      <c r="F47" s="26" t="s">
        <v>471</v>
      </c>
      <c r="G47" s="26" t="s">
        <v>473</v>
      </c>
      <c r="H47" s="26" t="s">
        <v>473</v>
      </c>
      <c r="I47" s="38" t="s">
        <v>494</v>
      </c>
      <c r="J47" s="26">
        <v>0</v>
      </c>
      <c r="K47" s="26"/>
      <c r="L47" s="26">
        <v>5</v>
      </c>
      <c r="M47" s="26"/>
      <c r="N47" s="26"/>
      <c r="O47" s="26"/>
      <c r="P47" s="26" t="b">
        <v>0</v>
      </c>
      <c r="Q47" s="37" t="s">
        <v>631</v>
      </c>
      <c r="R47" s="26"/>
    </row>
    <row r="48" spans="1:18">
      <c r="A48" s="26" t="s">
        <v>580</v>
      </c>
      <c r="B48" s="26" t="b">
        <v>1</v>
      </c>
      <c r="C48" s="26" t="s">
        <v>755</v>
      </c>
      <c r="D48" s="38" t="s">
        <v>1174</v>
      </c>
      <c r="E48" s="26">
        <v>0</v>
      </c>
      <c r="F48" s="26" t="s">
        <v>471</v>
      </c>
      <c r="G48" s="26" t="s">
        <v>473</v>
      </c>
      <c r="H48" s="26" t="s">
        <v>473</v>
      </c>
      <c r="I48" s="38" t="s">
        <v>494</v>
      </c>
      <c r="J48" s="26"/>
      <c r="K48" s="26"/>
      <c r="L48" s="26"/>
      <c r="M48" s="26"/>
      <c r="N48" s="26"/>
      <c r="O48" s="26"/>
      <c r="P48" s="26" t="b">
        <v>0</v>
      </c>
      <c r="Q48" s="26">
        <v>0</v>
      </c>
      <c r="R48" s="26"/>
    </row>
    <row r="49" spans="1:18">
      <c r="A49" s="26" t="s">
        <v>581</v>
      </c>
      <c r="B49" s="26" t="b">
        <v>1</v>
      </c>
      <c r="C49" s="26" t="s">
        <v>755</v>
      </c>
      <c r="D49" s="38" t="s">
        <v>1175</v>
      </c>
      <c r="E49" s="26">
        <v>0</v>
      </c>
      <c r="F49" s="26" t="s">
        <v>471</v>
      </c>
      <c r="G49" s="26" t="s">
        <v>473</v>
      </c>
      <c r="H49" s="26" t="s">
        <v>473</v>
      </c>
      <c r="I49" s="38" t="s">
        <v>494</v>
      </c>
      <c r="J49" s="26"/>
      <c r="K49" s="26"/>
      <c r="L49" s="26"/>
      <c r="M49" s="26"/>
      <c r="N49" s="26"/>
      <c r="O49" s="26"/>
      <c r="P49" s="26" t="b">
        <v>0</v>
      </c>
      <c r="Q49" s="37" t="s">
        <v>631</v>
      </c>
      <c r="R49" s="26"/>
    </row>
    <row r="50" spans="1:18">
      <c r="A50" s="26" t="s">
        <v>582</v>
      </c>
      <c r="B50" s="26" t="b">
        <v>1</v>
      </c>
      <c r="C50" s="26" t="s">
        <v>755</v>
      </c>
      <c r="D50" s="38" t="s">
        <v>1176</v>
      </c>
      <c r="E50" s="26">
        <v>0</v>
      </c>
      <c r="F50" s="26" t="s">
        <v>471</v>
      </c>
      <c r="G50" s="26" t="s">
        <v>473</v>
      </c>
      <c r="H50" s="26" t="s">
        <v>473</v>
      </c>
      <c r="I50" s="38" t="s">
        <v>494</v>
      </c>
      <c r="J50" s="26"/>
      <c r="K50" s="26"/>
      <c r="L50" s="26"/>
      <c r="M50" s="26"/>
      <c r="N50" s="26"/>
      <c r="O50" s="26"/>
      <c r="P50" s="26" t="b">
        <v>0</v>
      </c>
      <c r="Q50" s="37" t="s">
        <v>631</v>
      </c>
      <c r="R50" s="26"/>
    </row>
    <row r="51" spans="1:18">
      <c r="A51" s="26" t="s">
        <v>1212</v>
      </c>
      <c r="B51" s="26" t="b">
        <v>1</v>
      </c>
      <c r="C51" s="26" t="s">
        <v>755</v>
      </c>
      <c r="D51" s="38" t="s">
        <v>1177</v>
      </c>
      <c r="E51" s="26">
        <v>0</v>
      </c>
      <c r="F51" s="26" t="s">
        <v>471</v>
      </c>
      <c r="G51" s="26" t="s">
        <v>473</v>
      </c>
      <c r="H51" s="26" t="s">
        <v>473</v>
      </c>
      <c r="I51" s="38" t="s">
        <v>494</v>
      </c>
      <c r="J51" s="26"/>
      <c r="K51" s="26"/>
      <c r="L51" s="26"/>
      <c r="M51" s="26"/>
      <c r="N51" s="26"/>
      <c r="O51" s="26"/>
      <c r="P51" s="26" t="b">
        <v>0</v>
      </c>
      <c r="Q51" s="37" t="s">
        <v>631</v>
      </c>
      <c r="R51" s="26"/>
    </row>
    <row r="52" spans="1:18">
      <c r="A52" s="26" t="s">
        <v>583</v>
      </c>
      <c r="B52" s="26" t="b">
        <v>1</v>
      </c>
      <c r="C52" s="26" t="s">
        <v>755</v>
      </c>
      <c r="D52" s="38" t="s">
        <v>1178</v>
      </c>
      <c r="E52" s="26">
        <v>0</v>
      </c>
      <c r="F52" s="26" t="s">
        <v>471</v>
      </c>
      <c r="G52" s="26" t="s">
        <v>473</v>
      </c>
      <c r="H52" s="26" t="s">
        <v>473</v>
      </c>
      <c r="I52" s="38" t="s">
        <v>494</v>
      </c>
      <c r="J52" s="26"/>
      <c r="K52" s="26"/>
      <c r="L52" s="26"/>
      <c r="M52" s="26"/>
      <c r="N52" s="26"/>
      <c r="O52" s="26"/>
      <c r="P52" s="26" t="b">
        <v>0</v>
      </c>
      <c r="Q52" s="37" t="s">
        <v>631</v>
      </c>
      <c r="R52" s="26"/>
    </row>
    <row r="53" spans="1:18">
      <c r="A53" s="26" t="s">
        <v>584</v>
      </c>
      <c r="B53" s="26" t="b">
        <v>1</v>
      </c>
      <c r="C53" s="26" t="s">
        <v>755</v>
      </c>
      <c r="D53" s="38" t="s">
        <v>1179</v>
      </c>
      <c r="E53" s="26">
        <v>0</v>
      </c>
      <c r="F53" s="26" t="s">
        <v>471</v>
      </c>
      <c r="G53" s="26" t="s">
        <v>473</v>
      </c>
      <c r="H53" s="26" t="s">
        <v>473</v>
      </c>
      <c r="I53" s="38" t="s">
        <v>494</v>
      </c>
      <c r="J53" s="26"/>
      <c r="K53" s="26"/>
      <c r="L53" s="26"/>
      <c r="M53" s="26"/>
      <c r="N53" s="26"/>
      <c r="O53" s="26"/>
      <c r="P53" s="26" t="b">
        <v>0</v>
      </c>
      <c r="Q53" s="37" t="s">
        <v>631</v>
      </c>
      <c r="R53" s="26"/>
    </row>
    <row r="54" spans="1:18">
      <c r="A54" s="26" t="s">
        <v>1213</v>
      </c>
      <c r="B54" s="26" t="b">
        <v>1</v>
      </c>
      <c r="C54" s="26" t="s">
        <v>755</v>
      </c>
      <c r="D54" s="38" t="s">
        <v>1180</v>
      </c>
      <c r="E54" s="26">
        <v>0</v>
      </c>
      <c r="F54" s="26" t="s">
        <v>471</v>
      </c>
      <c r="G54" s="26" t="s">
        <v>473</v>
      </c>
      <c r="H54" s="26" t="s">
        <v>473</v>
      </c>
      <c r="I54" s="38" t="s">
        <v>494</v>
      </c>
      <c r="J54" s="26"/>
      <c r="K54" s="26"/>
      <c r="L54" s="26"/>
      <c r="M54" s="26"/>
      <c r="N54" s="26"/>
      <c r="O54" s="26"/>
      <c r="P54" s="26" t="b">
        <v>0</v>
      </c>
      <c r="Q54" s="37" t="s">
        <v>631</v>
      </c>
      <c r="R54" s="26"/>
    </row>
    <row r="55" spans="1:18">
      <c r="A55" s="26" t="s">
        <v>585</v>
      </c>
      <c r="B55" s="26" t="b">
        <v>1</v>
      </c>
      <c r="C55" s="26" t="s">
        <v>755</v>
      </c>
      <c r="D55" s="38" t="s">
        <v>1181</v>
      </c>
      <c r="E55" s="26">
        <v>0</v>
      </c>
      <c r="F55" s="26" t="s">
        <v>471</v>
      </c>
      <c r="G55" s="26" t="s">
        <v>473</v>
      </c>
      <c r="H55" s="26" t="s">
        <v>473</v>
      </c>
      <c r="I55" s="38" t="s">
        <v>494</v>
      </c>
      <c r="J55" s="26"/>
      <c r="K55" s="26"/>
      <c r="L55" s="26"/>
      <c r="M55" s="26"/>
      <c r="N55" s="26"/>
      <c r="O55" s="26"/>
      <c r="P55" s="26" t="b">
        <v>0</v>
      </c>
      <c r="Q55" s="37" t="s">
        <v>631</v>
      </c>
      <c r="R55" s="26"/>
    </row>
    <row r="56" spans="1:18">
      <c r="A56" s="26" t="s">
        <v>586</v>
      </c>
      <c r="B56" s="26" t="b">
        <v>1</v>
      </c>
      <c r="C56" s="26" t="s">
        <v>755</v>
      </c>
      <c r="D56" s="38" t="s">
        <v>1182</v>
      </c>
      <c r="E56" s="26">
        <v>0</v>
      </c>
      <c r="F56" s="26" t="s">
        <v>471</v>
      </c>
      <c r="G56" s="26" t="s">
        <v>473</v>
      </c>
      <c r="H56" s="26" t="s">
        <v>473</v>
      </c>
      <c r="I56" s="38" t="s">
        <v>494</v>
      </c>
      <c r="J56" s="26"/>
      <c r="K56" s="26"/>
      <c r="L56" s="26"/>
      <c r="M56" s="26"/>
      <c r="N56" s="26"/>
      <c r="O56" s="26"/>
      <c r="P56" s="26" t="b">
        <v>0</v>
      </c>
      <c r="Q56" s="37" t="s">
        <v>631</v>
      </c>
      <c r="R56" s="26"/>
    </row>
    <row r="57" spans="1:18">
      <c r="A57" s="26" t="s">
        <v>587</v>
      </c>
      <c r="B57" s="26" t="b">
        <v>1</v>
      </c>
      <c r="C57" s="26" t="s">
        <v>755</v>
      </c>
      <c r="D57" s="38" t="s">
        <v>1183</v>
      </c>
      <c r="E57" s="26">
        <v>0</v>
      </c>
      <c r="F57" s="26" t="s">
        <v>471</v>
      </c>
      <c r="G57" s="26" t="s">
        <v>473</v>
      </c>
      <c r="H57" s="26" t="s">
        <v>473</v>
      </c>
      <c r="I57" s="38" t="s">
        <v>494</v>
      </c>
      <c r="J57" s="26"/>
      <c r="K57" s="26"/>
      <c r="L57" s="26"/>
      <c r="M57" s="26"/>
      <c r="N57" s="26"/>
      <c r="O57" s="26"/>
      <c r="P57" s="26" t="b">
        <v>0</v>
      </c>
      <c r="Q57" s="37" t="s">
        <v>631</v>
      </c>
      <c r="R57" s="26"/>
    </row>
    <row r="58" spans="1:18">
      <c r="A58" s="26" t="s">
        <v>588</v>
      </c>
      <c r="B58" s="26" t="b">
        <v>1</v>
      </c>
      <c r="C58" s="26" t="s">
        <v>755</v>
      </c>
      <c r="D58" s="38" t="s">
        <v>1184</v>
      </c>
      <c r="E58" s="26">
        <v>0</v>
      </c>
      <c r="F58" s="26" t="s">
        <v>471</v>
      </c>
      <c r="G58" s="26" t="s">
        <v>473</v>
      </c>
      <c r="H58" s="26" t="s">
        <v>473</v>
      </c>
      <c r="I58" s="38" t="s">
        <v>494</v>
      </c>
      <c r="J58" s="26"/>
      <c r="K58" s="26"/>
      <c r="L58" s="26"/>
      <c r="M58" s="26"/>
      <c r="N58" s="26"/>
      <c r="O58" s="26"/>
      <c r="P58" s="26" t="b">
        <v>0</v>
      </c>
      <c r="Q58" s="37" t="s">
        <v>631</v>
      </c>
      <c r="R58" s="26"/>
    </row>
    <row r="59" spans="1:18">
      <c r="A59" s="26" t="s">
        <v>589</v>
      </c>
      <c r="B59" s="26" t="b">
        <v>1</v>
      </c>
      <c r="C59" s="26" t="s">
        <v>755</v>
      </c>
      <c r="D59" s="38" t="s">
        <v>1185</v>
      </c>
      <c r="E59" s="26">
        <v>0</v>
      </c>
      <c r="F59" s="26" t="s">
        <v>471</v>
      </c>
      <c r="G59" s="26" t="s">
        <v>473</v>
      </c>
      <c r="H59" s="26" t="s">
        <v>473</v>
      </c>
      <c r="I59" s="38" t="s">
        <v>494</v>
      </c>
      <c r="J59" s="26"/>
      <c r="K59" s="26"/>
      <c r="L59" s="26"/>
      <c r="M59" s="26"/>
      <c r="N59" s="26"/>
      <c r="O59" s="26"/>
      <c r="P59" s="26" t="b">
        <v>0</v>
      </c>
      <c r="Q59" s="37" t="s">
        <v>631</v>
      </c>
      <c r="R59" s="26"/>
    </row>
    <row r="60" spans="1:18">
      <c r="A60" s="26" t="s">
        <v>1214</v>
      </c>
      <c r="B60" s="26" t="b">
        <v>1</v>
      </c>
      <c r="C60" s="26" t="s">
        <v>755</v>
      </c>
      <c r="D60" s="38" t="s">
        <v>1186</v>
      </c>
      <c r="E60" s="26">
        <v>0</v>
      </c>
      <c r="F60" s="26" t="s">
        <v>471</v>
      </c>
      <c r="G60" s="26" t="s">
        <v>473</v>
      </c>
      <c r="H60" s="26" t="s">
        <v>473</v>
      </c>
      <c r="I60" s="38" t="s">
        <v>494</v>
      </c>
      <c r="J60" s="26"/>
      <c r="K60" s="26"/>
      <c r="L60" s="26"/>
      <c r="M60" s="26"/>
      <c r="N60" s="26"/>
      <c r="O60" s="26"/>
      <c r="P60" s="26" t="b">
        <v>0</v>
      </c>
      <c r="Q60" s="37" t="s">
        <v>631</v>
      </c>
      <c r="R60" s="26"/>
    </row>
    <row r="61" spans="1:18">
      <c r="A61" s="26" t="s">
        <v>590</v>
      </c>
      <c r="B61" s="26" t="b">
        <v>1</v>
      </c>
      <c r="C61" s="26" t="s">
        <v>755</v>
      </c>
      <c r="D61" s="38" t="s">
        <v>1187</v>
      </c>
      <c r="E61" s="26">
        <v>0</v>
      </c>
      <c r="F61" s="26" t="s">
        <v>471</v>
      </c>
      <c r="G61" s="26" t="s">
        <v>473</v>
      </c>
      <c r="H61" s="26" t="s">
        <v>473</v>
      </c>
      <c r="I61" s="38" t="s">
        <v>494</v>
      </c>
      <c r="J61" s="26"/>
      <c r="K61" s="26"/>
      <c r="L61" s="26"/>
      <c r="M61" s="26"/>
      <c r="N61" s="26"/>
      <c r="O61" s="26"/>
      <c r="P61" s="26" t="b">
        <v>0</v>
      </c>
      <c r="Q61" s="37" t="s">
        <v>631</v>
      </c>
      <c r="R61" s="26"/>
    </row>
    <row r="62" spans="1:18">
      <c r="A62" s="26" t="s">
        <v>867</v>
      </c>
      <c r="B62" s="26" t="b">
        <v>1</v>
      </c>
      <c r="C62" s="26" t="s">
        <v>755</v>
      </c>
      <c r="D62" s="38" t="s">
        <v>1188</v>
      </c>
      <c r="E62" s="26">
        <v>0</v>
      </c>
      <c r="F62" s="26" t="s">
        <v>471</v>
      </c>
      <c r="G62" s="26" t="s">
        <v>364</v>
      </c>
      <c r="H62" s="26" t="s">
        <v>364</v>
      </c>
      <c r="I62" s="26" t="s">
        <v>364</v>
      </c>
      <c r="J62" s="26"/>
      <c r="K62" s="26"/>
      <c r="L62" s="26"/>
      <c r="M62" s="26" t="s">
        <v>905</v>
      </c>
      <c r="N62" s="26"/>
      <c r="O62" s="26"/>
      <c r="P62" s="26" t="b">
        <v>0</v>
      </c>
      <c r="Q62" s="37" t="s">
        <v>871</v>
      </c>
      <c r="R62" s="26"/>
    </row>
    <row r="63" spans="1:18">
      <c r="A63" s="26" t="s">
        <v>868</v>
      </c>
      <c r="B63" s="26" t="b">
        <v>1</v>
      </c>
      <c r="C63" s="26" t="s">
        <v>755</v>
      </c>
      <c r="D63" s="38" t="s">
        <v>1189</v>
      </c>
      <c r="E63" s="26">
        <v>0</v>
      </c>
      <c r="F63" s="26" t="s">
        <v>471</v>
      </c>
      <c r="G63" s="26" t="s">
        <v>364</v>
      </c>
      <c r="H63" s="26" t="s">
        <v>364</v>
      </c>
      <c r="I63" s="26" t="s">
        <v>364</v>
      </c>
      <c r="J63" s="26"/>
      <c r="K63" s="26"/>
      <c r="L63" s="26"/>
      <c r="M63" s="26" t="s">
        <v>905</v>
      </c>
      <c r="N63" s="26"/>
      <c r="O63" s="26"/>
      <c r="P63" s="26" t="b">
        <v>0</v>
      </c>
      <c r="Q63" s="37" t="s">
        <v>871</v>
      </c>
      <c r="R63" s="26"/>
    </row>
    <row r="64" spans="1:18">
      <c r="A64" s="26" t="s">
        <v>869</v>
      </c>
      <c r="B64" s="26" t="b">
        <v>1</v>
      </c>
      <c r="C64" s="26" t="s">
        <v>755</v>
      </c>
      <c r="D64" s="38" t="s">
        <v>1190</v>
      </c>
      <c r="E64" s="26">
        <v>0</v>
      </c>
      <c r="F64" s="26" t="s">
        <v>471</v>
      </c>
      <c r="G64" s="26" t="s">
        <v>364</v>
      </c>
      <c r="H64" s="26" t="s">
        <v>364</v>
      </c>
      <c r="I64" s="26" t="s">
        <v>364</v>
      </c>
      <c r="J64" s="26"/>
      <c r="K64" s="26"/>
      <c r="L64" s="26"/>
      <c r="M64" s="26" t="s">
        <v>905</v>
      </c>
      <c r="N64" s="26"/>
      <c r="O64" s="26"/>
      <c r="P64" s="26" t="b">
        <v>0</v>
      </c>
      <c r="Q64" s="37" t="s">
        <v>871</v>
      </c>
      <c r="R64" s="26"/>
    </row>
    <row r="65" spans="1:18" ht="16.5">
      <c r="A65" s="40" t="s">
        <v>916</v>
      </c>
      <c r="B65" s="26" t="b">
        <v>1</v>
      </c>
      <c r="C65" s="26" t="s">
        <v>755</v>
      </c>
      <c r="D65" s="38" t="s">
        <v>1192</v>
      </c>
      <c r="E65" s="26">
        <v>0</v>
      </c>
      <c r="F65" s="26" t="s">
        <v>471</v>
      </c>
      <c r="G65" s="26" t="s">
        <v>499</v>
      </c>
      <c r="H65" s="26" t="s">
        <v>499</v>
      </c>
      <c r="I65" s="38" t="s">
        <v>494</v>
      </c>
      <c r="J65" s="26"/>
      <c r="K65" s="26"/>
      <c r="L65" s="26">
        <v>5</v>
      </c>
      <c r="M65" s="26"/>
      <c r="N65" s="26"/>
      <c r="O65" s="26"/>
      <c r="P65" s="26" t="b">
        <v>0</v>
      </c>
      <c r="Q65" s="37"/>
      <c r="R65" s="26"/>
    </row>
    <row r="66" spans="1:18">
      <c r="A66" s="26" t="s">
        <v>1191</v>
      </c>
      <c r="B66" s="26" t="b">
        <v>1</v>
      </c>
      <c r="C66" s="26" t="s">
        <v>755</v>
      </c>
      <c r="D66" s="26" t="s">
        <v>804</v>
      </c>
      <c r="E66" s="26">
        <v>0</v>
      </c>
      <c r="F66" s="26" t="s">
        <v>804</v>
      </c>
      <c r="G66" s="26" t="s">
        <v>804</v>
      </c>
      <c r="H66" s="26" t="s">
        <v>804</v>
      </c>
      <c r="I66" s="26"/>
      <c r="J66" s="26"/>
      <c r="K66" s="26"/>
      <c r="L66" s="26"/>
      <c r="M66" s="26"/>
      <c r="N66" s="26"/>
      <c r="O66" s="26"/>
      <c r="P66" s="26" t="b">
        <v>0</v>
      </c>
      <c r="Q66" s="26"/>
      <c r="R66" s="26"/>
    </row>
  </sheetData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I17"/>
  <sheetViews>
    <sheetView workbookViewId="0">
      <selection activeCell="I26" sqref="I26"/>
    </sheetView>
  </sheetViews>
  <sheetFormatPr defaultRowHeight="15"/>
  <cols>
    <col min="1" max="1" width="11.7109375" bestFit="1" customWidth="1"/>
    <col min="2" max="2" width="45.85546875" customWidth="1"/>
    <col min="3" max="3" width="20.42578125" bestFit="1" customWidth="1"/>
  </cols>
  <sheetData>
    <row r="1" spans="1:9">
      <c r="A1" s="45" t="s">
        <v>1197</v>
      </c>
      <c r="B1" s="46"/>
      <c r="C1" s="47"/>
    </row>
    <row r="2" spans="1:9">
      <c r="A2" s="25" t="s">
        <v>816</v>
      </c>
      <c r="B2" s="25" t="s">
        <v>1196</v>
      </c>
      <c r="C2" s="25" t="s">
        <v>1200</v>
      </c>
    </row>
    <row r="3" spans="1:9">
      <c r="A3" s="25">
        <v>1</v>
      </c>
      <c r="B3" s="25" t="s">
        <v>1064</v>
      </c>
      <c r="C3" s="25">
        <f>2+7+7+2+4</f>
        <v>22</v>
      </c>
    </row>
    <row r="4" spans="1:9">
      <c r="A4" s="25">
        <v>2</v>
      </c>
      <c r="B4" s="25" t="s">
        <v>1131</v>
      </c>
      <c r="C4" s="25">
        <f>11+4</f>
        <v>15</v>
      </c>
    </row>
    <row r="5" spans="1:9">
      <c r="A5" s="25">
        <v>3</v>
      </c>
      <c r="B5" s="25" t="s">
        <v>1193</v>
      </c>
      <c r="C5" s="25">
        <v>10</v>
      </c>
    </row>
    <row r="6" spans="1:9">
      <c r="A6" s="25" t="s">
        <v>1194</v>
      </c>
      <c r="B6" s="25"/>
      <c r="C6" s="25">
        <f>SUM(C3:C5)</f>
        <v>47</v>
      </c>
    </row>
    <row r="7" spans="1:9">
      <c r="A7" s="25" t="s">
        <v>1195</v>
      </c>
      <c r="B7" s="26"/>
      <c r="C7" s="27">
        <f>C6/102</f>
        <v>0.46078431372549017</v>
      </c>
      <c r="F7" s="25" t="s">
        <v>1210</v>
      </c>
    </row>
    <row r="9" spans="1:9">
      <c r="A9" s="45" t="s">
        <v>1198</v>
      </c>
      <c r="B9" s="46"/>
      <c r="C9" s="47"/>
    </row>
    <row r="10" spans="1:9">
      <c r="A10" s="25" t="s">
        <v>816</v>
      </c>
      <c r="B10" s="25" t="s">
        <v>1196</v>
      </c>
      <c r="C10" s="25" t="s">
        <v>1199</v>
      </c>
    </row>
    <row r="11" spans="1:9">
      <c r="A11" s="25">
        <v>1</v>
      </c>
      <c r="B11" s="25" t="s">
        <v>1064</v>
      </c>
      <c r="C11" s="25">
        <f>18+24+41+8+31</f>
        <v>122</v>
      </c>
      <c r="F11" t="s">
        <v>1132</v>
      </c>
      <c r="G11">
        <v>2</v>
      </c>
    </row>
    <row r="12" spans="1:9">
      <c r="A12" s="25">
        <v>2</v>
      </c>
      <c r="B12" s="25" t="s">
        <v>1131</v>
      </c>
      <c r="C12" s="25">
        <v>66</v>
      </c>
      <c r="F12" t="s">
        <v>1133</v>
      </c>
      <c r="G12">
        <v>2</v>
      </c>
    </row>
    <row r="13" spans="1:9">
      <c r="A13" s="25">
        <v>3</v>
      </c>
      <c r="B13" s="25" t="s">
        <v>1193</v>
      </c>
      <c r="C13" s="25">
        <v>0</v>
      </c>
      <c r="F13" s="23" t="s">
        <v>1134</v>
      </c>
      <c r="G13" s="24">
        <v>8</v>
      </c>
      <c r="H13" s="2" t="s">
        <v>1137</v>
      </c>
      <c r="I13" s="2" t="s">
        <v>1128</v>
      </c>
    </row>
    <row r="14" spans="1:9">
      <c r="A14" s="25" t="s">
        <v>1194</v>
      </c>
      <c r="B14" s="25"/>
      <c r="C14" s="25">
        <f>SUM(C11:C13)</f>
        <v>188</v>
      </c>
      <c r="F14" s="23" t="s">
        <v>1135</v>
      </c>
      <c r="G14" s="24">
        <v>4</v>
      </c>
      <c r="H14" s="2" t="s">
        <v>1136</v>
      </c>
      <c r="I14" s="2" t="s">
        <v>1138</v>
      </c>
    </row>
    <row r="15" spans="1:9">
      <c r="A15" s="25" t="s">
        <v>1195</v>
      </c>
      <c r="B15" s="26"/>
      <c r="C15" s="27">
        <f>C14/371</f>
        <v>0.50673854447439348</v>
      </c>
      <c r="F15" t="s">
        <v>1139</v>
      </c>
      <c r="I15" s="2" t="s">
        <v>459</v>
      </c>
    </row>
    <row r="16" spans="1:9">
      <c r="F16" t="s">
        <v>1140</v>
      </c>
      <c r="H16" s="2" t="s">
        <v>1141</v>
      </c>
      <c r="I16" s="2"/>
    </row>
    <row r="17" spans="6:9">
      <c r="F17" t="s">
        <v>1142</v>
      </c>
      <c r="H17" s="2" t="s">
        <v>1136</v>
      </c>
      <c r="I17" s="2" t="s">
        <v>1128</v>
      </c>
    </row>
  </sheetData>
  <mergeCells count="2">
    <mergeCell ref="A1:C1"/>
    <mergeCell ref="A9:C9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B43"/>
  <sheetViews>
    <sheetView workbookViewId="0">
      <selection activeCell="L40" sqref="L40"/>
    </sheetView>
  </sheetViews>
  <sheetFormatPr defaultRowHeight="15"/>
  <cols>
    <col min="1" max="1" width="19.42578125" bestFit="1" customWidth="1"/>
    <col min="2" max="2" width="29" customWidth="1"/>
  </cols>
  <sheetData>
    <row r="1" spans="1:2">
      <c r="A1" t="s">
        <v>0</v>
      </c>
      <c r="B1" t="s">
        <v>1</v>
      </c>
    </row>
    <row r="2" spans="1:2">
      <c r="A2" t="s">
        <v>18</v>
      </c>
      <c r="B2" t="s">
        <v>15</v>
      </c>
    </row>
    <row r="3" spans="1:2">
      <c r="A3" t="s">
        <v>177</v>
      </c>
      <c r="B3" t="s">
        <v>20</v>
      </c>
    </row>
    <row r="4" spans="1:2">
      <c r="A4" t="s">
        <v>178</v>
      </c>
      <c r="B4" t="s">
        <v>22</v>
      </c>
    </row>
    <row r="5" spans="1:2">
      <c r="A5" t="s">
        <v>229</v>
      </c>
      <c r="B5" t="s">
        <v>179</v>
      </c>
    </row>
    <row r="6" spans="1:2">
      <c r="A6" t="s">
        <v>216</v>
      </c>
      <c r="B6" t="s">
        <v>27</v>
      </c>
    </row>
    <row r="7" spans="1:2">
      <c r="A7" t="s">
        <v>136</v>
      </c>
      <c r="B7" t="s">
        <v>28</v>
      </c>
    </row>
    <row r="8" spans="1:2">
      <c r="A8" t="s">
        <v>137</v>
      </c>
      <c r="B8" t="s">
        <v>30</v>
      </c>
    </row>
    <row r="9" spans="1:2">
      <c r="A9" t="s">
        <v>139</v>
      </c>
      <c r="B9" t="s">
        <v>33</v>
      </c>
    </row>
    <row r="10" spans="1:2">
      <c r="A10" t="s">
        <v>140</v>
      </c>
      <c r="B10" t="s">
        <v>34</v>
      </c>
    </row>
    <row r="11" spans="1:2">
      <c r="A11" t="s">
        <v>181</v>
      </c>
      <c r="B11" t="s">
        <v>36</v>
      </c>
    </row>
    <row r="12" spans="1:2">
      <c r="A12" t="s">
        <v>182</v>
      </c>
      <c r="B12" t="s">
        <v>41</v>
      </c>
    </row>
    <row r="13" spans="1:2">
      <c r="A13" t="s">
        <v>185</v>
      </c>
      <c r="B13" t="s">
        <v>44</v>
      </c>
    </row>
    <row r="14" spans="1:2">
      <c r="A14" t="s">
        <v>176</v>
      </c>
      <c r="B14" t="s">
        <v>46</v>
      </c>
    </row>
    <row r="15" spans="1:2">
      <c r="A15" t="s">
        <v>183</v>
      </c>
      <c r="B15" t="s">
        <v>48</v>
      </c>
    </row>
    <row r="16" spans="1:2">
      <c r="A16" t="s">
        <v>143</v>
      </c>
      <c r="B16" t="s">
        <v>50</v>
      </c>
    </row>
    <row r="17" spans="1:2">
      <c r="A17" t="s">
        <v>295</v>
      </c>
      <c r="B17" t="s">
        <v>52</v>
      </c>
    </row>
    <row r="18" spans="1:2">
      <c r="A18" t="s">
        <v>221</v>
      </c>
      <c r="B18" t="s">
        <v>218</v>
      </c>
    </row>
    <row r="19" spans="1:2">
      <c r="A19" t="s">
        <v>213</v>
      </c>
      <c r="B19" t="s">
        <v>54</v>
      </c>
    </row>
    <row r="20" spans="1:2">
      <c r="A20" t="s">
        <v>296</v>
      </c>
      <c r="B20" t="s">
        <v>297</v>
      </c>
    </row>
    <row r="21" spans="1:2">
      <c r="A21" t="s">
        <v>144</v>
      </c>
      <c r="B21" t="s">
        <v>58</v>
      </c>
    </row>
    <row r="22" spans="1:2">
      <c r="A22" t="s">
        <v>184</v>
      </c>
      <c r="B22" t="s">
        <v>59</v>
      </c>
    </row>
    <row r="23" spans="1:2">
      <c r="A23" t="s">
        <v>145</v>
      </c>
      <c r="B23" t="s">
        <v>64</v>
      </c>
    </row>
    <row r="24" spans="1:2">
      <c r="A24" t="s">
        <v>146</v>
      </c>
      <c r="B24" t="s">
        <v>67</v>
      </c>
    </row>
    <row r="25" spans="1:2">
      <c r="A25" t="s">
        <v>147</v>
      </c>
      <c r="B25" t="s">
        <v>68</v>
      </c>
    </row>
    <row r="26" spans="1:2">
      <c r="A26" t="s">
        <v>148</v>
      </c>
      <c r="B26" t="s">
        <v>72</v>
      </c>
    </row>
    <row r="27" spans="1:2">
      <c r="A27" s="3" t="s">
        <v>324</v>
      </c>
      <c r="B27" t="s">
        <v>323</v>
      </c>
    </row>
    <row r="28" spans="1:2">
      <c r="A28" t="s">
        <v>77</v>
      </c>
      <c r="B28" t="s">
        <v>75</v>
      </c>
    </row>
    <row r="29" spans="1:2">
      <c r="A29" t="s">
        <v>149</v>
      </c>
      <c r="B29" t="s">
        <v>78</v>
      </c>
    </row>
    <row r="30" spans="1:2">
      <c r="A30" t="s">
        <v>150</v>
      </c>
      <c r="B30" t="s">
        <v>81</v>
      </c>
    </row>
    <row r="31" spans="1:2">
      <c r="A31" t="s">
        <v>253</v>
      </c>
      <c r="B31" t="s">
        <v>96</v>
      </c>
    </row>
    <row r="32" spans="1:2">
      <c r="A32" t="s">
        <v>98</v>
      </c>
      <c r="B32" t="s">
        <v>96</v>
      </c>
    </row>
    <row r="33" spans="1:2">
      <c r="A33" t="s">
        <v>99</v>
      </c>
      <c r="B33" t="s">
        <v>96</v>
      </c>
    </row>
    <row r="34" spans="1:2">
      <c r="A34" t="s">
        <v>100</v>
      </c>
      <c r="B34" t="s">
        <v>96</v>
      </c>
    </row>
    <row r="35" spans="1:2">
      <c r="A35" t="s">
        <v>101</v>
      </c>
      <c r="B35" t="s">
        <v>96</v>
      </c>
    </row>
    <row r="36" spans="1:2">
      <c r="A36" t="s">
        <v>102</v>
      </c>
      <c r="B36" t="s">
        <v>96</v>
      </c>
    </row>
    <row r="37" spans="1:2">
      <c r="A37" t="s">
        <v>103</v>
      </c>
      <c r="B37" t="s">
        <v>96</v>
      </c>
    </row>
    <row r="38" spans="1:2">
      <c r="A38" t="s">
        <v>104</v>
      </c>
      <c r="B38" t="s">
        <v>96</v>
      </c>
    </row>
    <row r="39" spans="1:2">
      <c r="A39" t="s">
        <v>151</v>
      </c>
      <c r="B39" t="s">
        <v>153</v>
      </c>
    </row>
    <row r="40" spans="1:2">
      <c r="A40" t="s">
        <v>237</v>
      </c>
      <c r="B40" t="s">
        <v>240</v>
      </c>
    </row>
    <row r="41" spans="1:2">
      <c r="A41" t="s">
        <v>154</v>
      </c>
      <c r="B41" t="s">
        <v>155</v>
      </c>
    </row>
    <row r="42" spans="1:2">
      <c r="A42" t="s">
        <v>167</v>
      </c>
      <c r="B42" t="s">
        <v>156</v>
      </c>
    </row>
    <row r="43" spans="1:2">
      <c r="A43" t="s">
        <v>254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old</vt:lpstr>
      <vt:lpstr>分配清单</vt:lpstr>
      <vt:lpstr>法人_配置表1</vt:lpstr>
      <vt:lpstr>法人_参数表1</vt:lpstr>
      <vt:lpstr>法人_配置表2</vt:lpstr>
      <vt:lpstr>法人_参数表2</vt:lpstr>
      <vt:lpstr>法人_配置表3</vt:lpstr>
      <vt:lpstr>法人_参数表3</vt:lpstr>
      <vt:lpstr>分支_配置表1</vt:lpstr>
      <vt:lpstr>分支_参数表1</vt:lpstr>
      <vt:lpstr>分支_配置表2</vt:lpstr>
      <vt:lpstr>sheet</vt:lpstr>
      <vt:lpstr>TblHearderName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Walmart</dc:creator>
  <cp:lastModifiedBy>James Chen</cp:lastModifiedBy>
  <dcterms:created xsi:type="dcterms:W3CDTF">2020-10-15T08:08:31Z</dcterms:created>
  <dcterms:modified xsi:type="dcterms:W3CDTF">2021-03-10T01:50:43Z</dcterms:modified>
</cp:coreProperties>
</file>